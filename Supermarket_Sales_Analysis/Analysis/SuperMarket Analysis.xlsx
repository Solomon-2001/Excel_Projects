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olomonebrahimoff/Documents/"/>
    </mc:Choice>
  </mc:AlternateContent>
  <xr:revisionPtr revIDLastSave="0" documentId="13_ncr:1_{8143C200-11CC-A84F-96A6-228F97F019EB}" xr6:coauthVersionLast="47" xr6:coauthVersionMax="47" xr10:uidLastSave="{00000000-0000-0000-0000-000000000000}"/>
  <bookViews>
    <workbookView xWindow="0" yWindow="0" windowWidth="28800" windowHeight="18000" activeTab="1" xr2:uid="{B3A44DC0-0771-1D43-AC7E-58717601392F}"/>
  </bookViews>
  <sheets>
    <sheet name="SuperMarket Analysis" sheetId="1" r:id="rId1"/>
    <sheet name="Average Spend by Customer" sheetId="13" r:id="rId2"/>
    <sheet name="Revenue by Hour" sheetId="14" r:id="rId3"/>
    <sheet name="Revenue by Month" sheetId="5" r:id="rId4"/>
    <sheet name="Revenue by Product Line" sheetId="6" r:id="rId5"/>
    <sheet name="Revenue by Payment" sheetId="8" r:id="rId6"/>
    <sheet name="Revenue by Day" sheetId="10" r:id="rId7"/>
    <sheet name="Revenue by Branch" sheetId="9" r:id="rId8"/>
  </sheets>
  <definedNames>
    <definedName name="_xlnm._FilterDatabase" localSheetId="0" hidden="1">'SuperMarket Analysis'!$A$1:$U$1001</definedName>
  </definedNames>
  <calcPr calcId="191029"/>
  <pivotCaches>
    <pivotCache cacheId="2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/>
  <c r="T2" i="1"/>
  <c r="U2" i="1"/>
  <c r="R3" i="1"/>
  <c r="S3" i="1"/>
  <c r="T3" i="1"/>
  <c r="U3" i="1"/>
  <c r="R4" i="1"/>
  <c r="S4" i="1"/>
  <c r="T4" i="1"/>
  <c r="U4" i="1"/>
  <c r="R5" i="1"/>
  <c r="S5" i="1"/>
  <c r="T5" i="1"/>
  <c r="U5" i="1"/>
  <c r="R6" i="1"/>
  <c r="S6" i="1"/>
  <c r="T6" i="1"/>
  <c r="U6" i="1"/>
  <c r="R7" i="1"/>
  <c r="S7" i="1"/>
  <c r="T7" i="1"/>
  <c r="U7" i="1"/>
  <c r="R8" i="1"/>
  <c r="S8" i="1"/>
  <c r="T8" i="1"/>
  <c r="U8" i="1"/>
  <c r="R9" i="1"/>
  <c r="S9" i="1"/>
  <c r="T9" i="1"/>
  <c r="U9" i="1"/>
  <c r="R10" i="1"/>
  <c r="S10" i="1"/>
  <c r="T10" i="1"/>
  <c r="U10" i="1"/>
  <c r="R11" i="1"/>
  <c r="S11" i="1"/>
  <c r="T11" i="1"/>
  <c r="U11" i="1"/>
  <c r="R12" i="1"/>
  <c r="S12" i="1"/>
  <c r="T12" i="1"/>
  <c r="U12" i="1"/>
  <c r="R13" i="1"/>
  <c r="S13" i="1"/>
  <c r="T13" i="1"/>
  <c r="U13" i="1"/>
  <c r="R14" i="1"/>
  <c r="S14" i="1"/>
  <c r="T14" i="1"/>
  <c r="U14" i="1"/>
  <c r="R15" i="1"/>
  <c r="S15" i="1"/>
  <c r="T15" i="1"/>
  <c r="U15" i="1"/>
  <c r="R16" i="1"/>
  <c r="S16" i="1"/>
  <c r="T16" i="1"/>
  <c r="U16" i="1"/>
  <c r="R17" i="1"/>
  <c r="S17" i="1"/>
  <c r="T17" i="1"/>
  <c r="U17" i="1"/>
  <c r="R18" i="1"/>
  <c r="S18" i="1"/>
  <c r="T18" i="1"/>
  <c r="U18" i="1"/>
  <c r="R19" i="1"/>
  <c r="S19" i="1"/>
  <c r="T19" i="1"/>
  <c r="U19" i="1"/>
  <c r="R20" i="1"/>
  <c r="S20" i="1"/>
  <c r="T20" i="1"/>
  <c r="U20" i="1"/>
  <c r="R21" i="1"/>
  <c r="S21" i="1"/>
  <c r="T21" i="1"/>
  <c r="U21" i="1"/>
  <c r="R22" i="1"/>
  <c r="S22" i="1"/>
  <c r="T22" i="1"/>
  <c r="U22" i="1"/>
  <c r="R23" i="1"/>
  <c r="S23" i="1"/>
  <c r="T23" i="1"/>
  <c r="U23" i="1"/>
  <c r="R24" i="1"/>
  <c r="S24" i="1"/>
  <c r="T24" i="1"/>
  <c r="U24" i="1"/>
  <c r="R25" i="1"/>
  <c r="S25" i="1"/>
  <c r="T25" i="1"/>
  <c r="U25" i="1"/>
  <c r="R26" i="1"/>
  <c r="S26" i="1"/>
  <c r="T26" i="1"/>
  <c r="U26" i="1"/>
  <c r="R27" i="1"/>
  <c r="S27" i="1"/>
  <c r="T27" i="1"/>
  <c r="U27" i="1"/>
  <c r="R28" i="1"/>
  <c r="S28" i="1"/>
  <c r="T28" i="1"/>
  <c r="U28" i="1"/>
  <c r="R29" i="1"/>
  <c r="S29" i="1"/>
  <c r="T29" i="1"/>
  <c r="U29" i="1"/>
  <c r="R30" i="1"/>
  <c r="S30" i="1"/>
  <c r="T30" i="1"/>
  <c r="U30" i="1"/>
  <c r="R31" i="1"/>
  <c r="S31" i="1"/>
  <c r="T31" i="1"/>
  <c r="U31" i="1"/>
  <c r="R32" i="1"/>
  <c r="S32" i="1"/>
  <c r="T32" i="1"/>
  <c r="U32" i="1"/>
  <c r="R33" i="1"/>
  <c r="S33" i="1"/>
  <c r="T33" i="1"/>
  <c r="U33" i="1"/>
  <c r="R34" i="1"/>
  <c r="S34" i="1"/>
  <c r="T34" i="1"/>
  <c r="U34" i="1"/>
  <c r="R35" i="1"/>
  <c r="S35" i="1"/>
  <c r="T35" i="1"/>
  <c r="U35" i="1"/>
  <c r="R36" i="1"/>
  <c r="S36" i="1"/>
  <c r="T36" i="1"/>
  <c r="U36" i="1"/>
  <c r="R37" i="1"/>
  <c r="S37" i="1"/>
  <c r="T37" i="1"/>
  <c r="U37" i="1"/>
  <c r="R38" i="1"/>
  <c r="S38" i="1"/>
  <c r="T38" i="1"/>
  <c r="U38" i="1"/>
  <c r="R39" i="1"/>
  <c r="S39" i="1"/>
  <c r="T39" i="1"/>
  <c r="U39" i="1"/>
  <c r="R40" i="1"/>
  <c r="S40" i="1"/>
  <c r="T40" i="1"/>
  <c r="U40" i="1"/>
  <c r="R41" i="1"/>
  <c r="S41" i="1"/>
  <c r="T41" i="1"/>
  <c r="U41" i="1"/>
  <c r="R42" i="1"/>
  <c r="S42" i="1"/>
  <c r="T42" i="1"/>
  <c r="U42" i="1"/>
  <c r="R43" i="1"/>
  <c r="S43" i="1"/>
  <c r="T43" i="1"/>
  <c r="U43" i="1"/>
  <c r="R44" i="1"/>
  <c r="S44" i="1"/>
  <c r="T44" i="1"/>
  <c r="U44" i="1"/>
  <c r="R45" i="1"/>
  <c r="S45" i="1"/>
  <c r="T45" i="1"/>
  <c r="U45" i="1"/>
  <c r="R46" i="1"/>
  <c r="S46" i="1"/>
  <c r="T46" i="1"/>
  <c r="U46" i="1"/>
  <c r="R47" i="1"/>
  <c r="S47" i="1"/>
  <c r="T47" i="1"/>
  <c r="U47" i="1"/>
  <c r="R48" i="1"/>
  <c r="S48" i="1"/>
  <c r="T48" i="1"/>
  <c r="U48" i="1"/>
  <c r="R49" i="1"/>
  <c r="S49" i="1"/>
  <c r="T49" i="1"/>
  <c r="U49" i="1"/>
  <c r="R50" i="1"/>
  <c r="S50" i="1"/>
  <c r="T50" i="1"/>
  <c r="U50" i="1"/>
  <c r="R51" i="1"/>
  <c r="S51" i="1"/>
  <c r="T51" i="1"/>
  <c r="U51" i="1"/>
  <c r="R52" i="1"/>
  <c r="S52" i="1"/>
  <c r="T52" i="1"/>
  <c r="U52" i="1"/>
  <c r="R53" i="1"/>
  <c r="S53" i="1"/>
  <c r="T53" i="1"/>
  <c r="U53" i="1"/>
  <c r="R54" i="1"/>
  <c r="S54" i="1"/>
  <c r="T54" i="1"/>
  <c r="U54" i="1"/>
  <c r="R55" i="1"/>
  <c r="S55" i="1"/>
  <c r="T55" i="1"/>
  <c r="U55" i="1"/>
  <c r="R56" i="1"/>
  <c r="S56" i="1"/>
  <c r="T56" i="1"/>
  <c r="U56" i="1"/>
  <c r="R57" i="1"/>
  <c r="S57" i="1"/>
  <c r="T57" i="1"/>
  <c r="U57" i="1"/>
  <c r="R58" i="1"/>
  <c r="S58" i="1"/>
  <c r="T58" i="1"/>
  <c r="U58" i="1"/>
  <c r="R59" i="1"/>
  <c r="S59" i="1"/>
  <c r="T59" i="1"/>
  <c r="U59" i="1"/>
  <c r="R60" i="1"/>
  <c r="S60" i="1"/>
  <c r="T60" i="1"/>
  <c r="U60" i="1"/>
  <c r="R61" i="1"/>
  <c r="S61" i="1"/>
  <c r="T61" i="1"/>
  <c r="U61" i="1"/>
  <c r="R62" i="1"/>
  <c r="S62" i="1"/>
  <c r="T62" i="1"/>
  <c r="U62" i="1"/>
  <c r="R63" i="1"/>
  <c r="S63" i="1"/>
  <c r="T63" i="1"/>
  <c r="U63" i="1"/>
  <c r="R64" i="1"/>
  <c r="S64" i="1"/>
  <c r="T64" i="1"/>
  <c r="U64" i="1"/>
  <c r="R65" i="1"/>
  <c r="S65" i="1"/>
  <c r="T65" i="1"/>
  <c r="U65" i="1"/>
  <c r="R66" i="1"/>
  <c r="S66" i="1"/>
  <c r="T66" i="1"/>
  <c r="U66" i="1"/>
  <c r="R67" i="1"/>
  <c r="S67" i="1"/>
  <c r="T67" i="1"/>
  <c r="U67" i="1"/>
  <c r="R68" i="1"/>
  <c r="S68" i="1"/>
  <c r="T68" i="1"/>
  <c r="U68" i="1"/>
  <c r="R69" i="1"/>
  <c r="S69" i="1"/>
  <c r="T69" i="1"/>
  <c r="U69" i="1"/>
  <c r="R70" i="1"/>
  <c r="S70" i="1"/>
  <c r="T70" i="1"/>
  <c r="U70" i="1"/>
  <c r="R71" i="1"/>
  <c r="S71" i="1"/>
  <c r="T71" i="1"/>
  <c r="U71" i="1"/>
  <c r="R72" i="1"/>
  <c r="S72" i="1"/>
  <c r="T72" i="1"/>
  <c r="U72" i="1"/>
  <c r="R73" i="1"/>
  <c r="S73" i="1"/>
  <c r="T73" i="1"/>
  <c r="U73" i="1"/>
  <c r="R74" i="1"/>
  <c r="S74" i="1"/>
  <c r="T74" i="1"/>
  <c r="U74" i="1"/>
  <c r="R75" i="1"/>
  <c r="S75" i="1"/>
  <c r="T75" i="1"/>
  <c r="U75" i="1"/>
  <c r="R76" i="1"/>
  <c r="S76" i="1"/>
  <c r="T76" i="1"/>
  <c r="U76" i="1"/>
  <c r="R77" i="1"/>
  <c r="S77" i="1"/>
  <c r="T77" i="1"/>
  <c r="U77" i="1"/>
  <c r="R78" i="1"/>
  <c r="S78" i="1"/>
  <c r="T78" i="1"/>
  <c r="U78" i="1"/>
  <c r="R79" i="1"/>
  <c r="S79" i="1"/>
  <c r="T79" i="1"/>
  <c r="U79" i="1"/>
  <c r="R80" i="1"/>
  <c r="S80" i="1"/>
  <c r="T80" i="1"/>
  <c r="U80" i="1"/>
  <c r="R81" i="1"/>
  <c r="S81" i="1"/>
  <c r="T81" i="1"/>
  <c r="U81" i="1"/>
  <c r="R82" i="1"/>
  <c r="S82" i="1"/>
  <c r="T82" i="1"/>
  <c r="U82" i="1"/>
  <c r="R83" i="1"/>
  <c r="S83" i="1"/>
  <c r="T83" i="1"/>
  <c r="U83" i="1"/>
  <c r="R84" i="1"/>
  <c r="S84" i="1"/>
  <c r="T84" i="1"/>
  <c r="U84" i="1"/>
  <c r="R85" i="1"/>
  <c r="S85" i="1"/>
  <c r="T85" i="1"/>
  <c r="U85" i="1"/>
  <c r="R86" i="1"/>
  <c r="S86" i="1"/>
  <c r="T86" i="1"/>
  <c r="U86" i="1"/>
  <c r="R87" i="1"/>
  <c r="S87" i="1"/>
  <c r="T87" i="1"/>
  <c r="U87" i="1"/>
  <c r="R88" i="1"/>
  <c r="S88" i="1"/>
  <c r="T88" i="1"/>
  <c r="U88" i="1"/>
  <c r="R89" i="1"/>
  <c r="S89" i="1"/>
  <c r="T89" i="1"/>
  <c r="U89" i="1"/>
  <c r="R90" i="1"/>
  <c r="S90" i="1"/>
  <c r="T90" i="1"/>
  <c r="U90" i="1"/>
  <c r="R91" i="1"/>
  <c r="S91" i="1"/>
  <c r="T91" i="1"/>
  <c r="U91" i="1"/>
  <c r="R92" i="1"/>
  <c r="S92" i="1"/>
  <c r="T92" i="1"/>
  <c r="U92" i="1"/>
  <c r="R93" i="1"/>
  <c r="S93" i="1"/>
  <c r="T93" i="1"/>
  <c r="U93" i="1"/>
  <c r="R94" i="1"/>
  <c r="S94" i="1"/>
  <c r="T94" i="1"/>
  <c r="U94" i="1"/>
  <c r="R95" i="1"/>
  <c r="S95" i="1"/>
  <c r="T95" i="1"/>
  <c r="U95" i="1"/>
  <c r="R96" i="1"/>
  <c r="S96" i="1"/>
  <c r="T96" i="1"/>
  <c r="U96" i="1"/>
  <c r="R97" i="1"/>
  <c r="S97" i="1"/>
  <c r="T97" i="1"/>
  <c r="U97" i="1"/>
  <c r="R98" i="1"/>
  <c r="S98" i="1"/>
  <c r="T98" i="1"/>
  <c r="U98" i="1"/>
  <c r="R99" i="1"/>
  <c r="S99" i="1"/>
  <c r="T99" i="1"/>
  <c r="U99" i="1"/>
  <c r="R100" i="1"/>
  <c r="S100" i="1"/>
  <c r="T100" i="1"/>
  <c r="U100" i="1"/>
  <c r="R101" i="1"/>
  <c r="S101" i="1"/>
  <c r="T101" i="1"/>
  <c r="U101" i="1"/>
  <c r="R102" i="1"/>
  <c r="S102" i="1"/>
  <c r="T102" i="1"/>
  <c r="U102" i="1"/>
  <c r="R103" i="1"/>
  <c r="S103" i="1"/>
  <c r="T103" i="1"/>
  <c r="U103" i="1"/>
  <c r="R104" i="1"/>
  <c r="S104" i="1"/>
  <c r="T104" i="1"/>
  <c r="U104" i="1"/>
  <c r="R105" i="1"/>
  <c r="S105" i="1"/>
  <c r="T105" i="1"/>
  <c r="U105" i="1"/>
  <c r="R106" i="1"/>
  <c r="S106" i="1"/>
  <c r="T106" i="1"/>
  <c r="U106" i="1"/>
  <c r="R107" i="1"/>
  <c r="S107" i="1"/>
  <c r="T107" i="1"/>
  <c r="U107" i="1"/>
  <c r="R108" i="1"/>
  <c r="S108" i="1"/>
  <c r="T108" i="1"/>
  <c r="U108" i="1"/>
  <c r="R109" i="1"/>
  <c r="S109" i="1"/>
  <c r="T109" i="1"/>
  <c r="U109" i="1"/>
  <c r="R110" i="1"/>
  <c r="S110" i="1"/>
  <c r="T110" i="1"/>
  <c r="U110" i="1"/>
  <c r="R111" i="1"/>
  <c r="S111" i="1"/>
  <c r="T111" i="1"/>
  <c r="U111" i="1"/>
  <c r="R112" i="1"/>
  <c r="S112" i="1"/>
  <c r="T112" i="1"/>
  <c r="U112" i="1"/>
  <c r="R113" i="1"/>
  <c r="S113" i="1"/>
  <c r="T113" i="1"/>
  <c r="U113" i="1"/>
  <c r="R114" i="1"/>
  <c r="S114" i="1"/>
  <c r="T114" i="1"/>
  <c r="U114" i="1"/>
  <c r="R115" i="1"/>
  <c r="S115" i="1"/>
  <c r="T115" i="1"/>
  <c r="U115" i="1"/>
  <c r="R116" i="1"/>
  <c r="S116" i="1"/>
  <c r="T116" i="1"/>
  <c r="U116" i="1"/>
  <c r="R117" i="1"/>
  <c r="S117" i="1"/>
  <c r="T117" i="1"/>
  <c r="U117" i="1"/>
  <c r="R118" i="1"/>
  <c r="S118" i="1"/>
  <c r="T118" i="1"/>
  <c r="U118" i="1"/>
  <c r="R119" i="1"/>
  <c r="S119" i="1"/>
  <c r="T119" i="1"/>
  <c r="U119" i="1"/>
  <c r="R120" i="1"/>
  <c r="S120" i="1"/>
  <c r="T120" i="1"/>
  <c r="U120" i="1"/>
  <c r="R121" i="1"/>
  <c r="S121" i="1"/>
  <c r="T121" i="1"/>
  <c r="U121" i="1"/>
  <c r="R122" i="1"/>
  <c r="S122" i="1"/>
  <c r="T122" i="1"/>
  <c r="U122" i="1"/>
  <c r="R123" i="1"/>
  <c r="S123" i="1"/>
  <c r="T123" i="1"/>
  <c r="U123" i="1"/>
  <c r="R124" i="1"/>
  <c r="S124" i="1"/>
  <c r="T124" i="1"/>
  <c r="U124" i="1"/>
  <c r="R125" i="1"/>
  <c r="S125" i="1"/>
  <c r="T125" i="1"/>
  <c r="U125" i="1"/>
  <c r="R126" i="1"/>
  <c r="S126" i="1"/>
  <c r="T126" i="1"/>
  <c r="U126" i="1"/>
  <c r="R127" i="1"/>
  <c r="S127" i="1"/>
  <c r="T127" i="1"/>
  <c r="U127" i="1"/>
  <c r="R128" i="1"/>
  <c r="S128" i="1"/>
  <c r="T128" i="1"/>
  <c r="U128" i="1"/>
  <c r="R129" i="1"/>
  <c r="S129" i="1"/>
  <c r="T129" i="1"/>
  <c r="U129" i="1"/>
  <c r="R130" i="1"/>
  <c r="S130" i="1"/>
  <c r="T130" i="1"/>
  <c r="U130" i="1"/>
  <c r="R131" i="1"/>
  <c r="S131" i="1"/>
  <c r="T131" i="1"/>
  <c r="U131" i="1"/>
  <c r="R132" i="1"/>
  <c r="S132" i="1"/>
  <c r="T132" i="1"/>
  <c r="U132" i="1"/>
  <c r="R133" i="1"/>
  <c r="S133" i="1"/>
  <c r="T133" i="1"/>
  <c r="U133" i="1"/>
  <c r="R134" i="1"/>
  <c r="S134" i="1"/>
  <c r="T134" i="1"/>
  <c r="U134" i="1"/>
  <c r="R135" i="1"/>
  <c r="S135" i="1"/>
  <c r="T135" i="1"/>
  <c r="U135" i="1"/>
  <c r="R136" i="1"/>
  <c r="S136" i="1"/>
  <c r="T136" i="1"/>
  <c r="U136" i="1"/>
  <c r="R137" i="1"/>
  <c r="S137" i="1"/>
  <c r="T137" i="1"/>
  <c r="U137" i="1"/>
  <c r="R138" i="1"/>
  <c r="S138" i="1"/>
  <c r="T138" i="1"/>
  <c r="U138" i="1"/>
  <c r="R139" i="1"/>
  <c r="S139" i="1"/>
  <c r="T139" i="1"/>
  <c r="U139" i="1"/>
  <c r="R140" i="1"/>
  <c r="S140" i="1"/>
  <c r="T140" i="1"/>
  <c r="U140" i="1"/>
  <c r="R141" i="1"/>
  <c r="S141" i="1"/>
  <c r="T141" i="1"/>
  <c r="U141" i="1"/>
  <c r="R142" i="1"/>
  <c r="S142" i="1"/>
  <c r="T142" i="1"/>
  <c r="U142" i="1"/>
  <c r="R143" i="1"/>
  <c r="S143" i="1"/>
  <c r="T143" i="1"/>
  <c r="U143" i="1"/>
  <c r="R144" i="1"/>
  <c r="S144" i="1"/>
  <c r="T144" i="1"/>
  <c r="U144" i="1"/>
  <c r="R145" i="1"/>
  <c r="S145" i="1"/>
  <c r="T145" i="1"/>
  <c r="U145" i="1"/>
  <c r="R146" i="1"/>
  <c r="S146" i="1"/>
  <c r="T146" i="1"/>
  <c r="U146" i="1"/>
  <c r="R147" i="1"/>
  <c r="S147" i="1"/>
  <c r="T147" i="1"/>
  <c r="U147" i="1"/>
  <c r="R148" i="1"/>
  <c r="S148" i="1"/>
  <c r="T148" i="1"/>
  <c r="U148" i="1"/>
  <c r="R149" i="1"/>
  <c r="S149" i="1"/>
  <c r="T149" i="1"/>
  <c r="U149" i="1"/>
  <c r="R150" i="1"/>
  <c r="S150" i="1"/>
  <c r="T150" i="1"/>
  <c r="U150" i="1"/>
  <c r="R151" i="1"/>
  <c r="S151" i="1"/>
  <c r="T151" i="1"/>
  <c r="U151" i="1"/>
  <c r="R152" i="1"/>
  <c r="S152" i="1"/>
  <c r="T152" i="1"/>
  <c r="U152" i="1"/>
  <c r="R153" i="1"/>
  <c r="S153" i="1"/>
  <c r="T153" i="1"/>
  <c r="U153" i="1"/>
  <c r="R154" i="1"/>
  <c r="S154" i="1"/>
  <c r="T154" i="1"/>
  <c r="U154" i="1"/>
  <c r="R155" i="1"/>
  <c r="S155" i="1"/>
  <c r="T155" i="1"/>
  <c r="U155" i="1"/>
  <c r="R156" i="1"/>
  <c r="S156" i="1"/>
  <c r="T156" i="1"/>
  <c r="U156" i="1"/>
  <c r="R157" i="1"/>
  <c r="S157" i="1"/>
  <c r="T157" i="1"/>
  <c r="U157" i="1"/>
  <c r="R158" i="1"/>
  <c r="S158" i="1"/>
  <c r="T158" i="1"/>
  <c r="U158" i="1"/>
  <c r="R159" i="1"/>
  <c r="S159" i="1"/>
  <c r="T159" i="1"/>
  <c r="U159" i="1"/>
  <c r="R160" i="1"/>
  <c r="S160" i="1"/>
  <c r="T160" i="1"/>
  <c r="U160" i="1"/>
  <c r="R161" i="1"/>
  <c r="S161" i="1"/>
  <c r="T161" i="1"/>
  <c r="U161" i="1"/>
  <c r="R162" i="1"/>
  <c r="S162" i="1"/>
  <c r="T162" i="1"/>
  <c r="U162" i="1"/>
  <c r="R163" i="1"/>
  <c r="S163" i="1"/>
  <c r="T163" i="1"/>
  <c r="U163" i="1"/>
  <c r="R164" i="1"/>
  <c r="S164" i="1"/>
  <c r="T164" i="1"/>
  <c r="U164" i="1"/>
  <c r="R165" i="1"/>
  <c r="S165" i="1"/>
  <c r="T165" i="1"/>
  <c r="U165" i="1"/>
  <c r="R166" i="1"/>
  <c r="S166" i="1"/>
  <c r="T166" i="1"/>
  <c r="U166" i="1"/>
  <c r="R167" i="1"/>
  <c r="S167" i="1"/>
  <c r="T167" i="1"/>
  <c r="U167" i="1"/>
  <c r="R168" i="1"/>
  <c r="S168" i="1"/>
  <c r="T168" i="1"/>
  <c r="U168" i="1"/>
  <c r="R169" i="1"/>
  <c r="S169" i="1"/>
  <c r="T169" i="1"/>
  <c r="U169" i="1"/>
  <c r="R170" i="1"/>
  <c r="S170" i="1"/>
  <c r="T170" i="1"/>
  <c r="U170" i="1"/>
  <c r="R171" i="1"/>
  <c r="S171" i="1"/>
  <c r="T171" i="1"/>
  <c r="U171" i="1"/>
  <c r="R172" i="1"/>
  <c r="S172" i="1"/>
  <c r="T172" i="1"/>
  <c r="U172" i="1"/>
  <c r="R173" i="1"/>
  <c r="S173" i="1"/>
  <c r="T173" i="1"/>
  <c r="U173" i="1"/>
  <c r="R174" i="1"/>
  <c r="S174" i="1"/>
  <c r="T174" i="1"/>
  <c r="U174" i="1"/>
  <c r="R175" i="1"/>
  <c r="S175" i="1"/>
  <c r="T175" i="1"/>
  <c r="U175" i="1"/>
  <c r="R176" i="1"/>
  <c r="S176" i="1"/>
  <c r="T176" i="1"/>
  <c r="U176" i="1"/>
  <c r="R177" i="1"/>
  <c r="S177" i="1"/>
  <c r="T177" i="1"/>
  <c r="U177" i="1"/>
  <c r="R178" i="1"/>
  <c r="S178" i="1"/>
  <c r="T178" i="1"/>
  <c r="U178" i="1"/>
  <c r="R179" i="1"/>
  <c r="S179" i="1"/>
  <c r="T179" i="1"/>
  <c r="U179" i="1"/>
  <c r="R180" i="1"/>
  <c r="S180" i="1"/>
  <c r="T180" i="1"/>
  <c r="U180" i="1"/>
  <c r="R181" i="1"/>
  <c r="S181" i="1"/>
  <c r="T181" i="1"/>
  <c r="U181" i="1"/>
  <c r="R182" i="1"/>
  <c r="S182" i="1"/>
  <c r="T182" i="1"/>
  <c r="U182" i="1"/>
  <c r="R183" i="1"/>
  <c r="S183" i="1"/>
  <c r="T183" i="1"/>
  <c r="U183" i="1"/>
  <c r="R184" i="1"/>
  <c r="S184" i="1"/>
  <c r="T184" i="1"/>
  <c r="U184" i="1"/>
  <c r="R185" i="1"/>
  <c r="S185" i="1"/>
  <c r="T185" i="1"/>
  <c r="U185" i="1"/>
  <c r="R186" i="1"/>
  <c r="S186" i="1"/>
  <c r="T186" i="1"/>
  <c r="U186" i="1"/>
  <c r="R187" i="1"/>
  <c r="S187" i="1"/>
  <c r="T187" i="1"/>
  <c r="U187" i="1"/>
  <c r="R188" i="1"/>
  <c r="S188" i="1"/>
  <c r="T188" i="1"/>
  <c r="U188" i="1"/>
  <c r="R189" i="1"/>
  <c r="S189" i="1"/>
  <c r="T189" i="1"/>
  <c r="U189" i="1"/>
  <c r="R190" i="1"/>
  <c r="S190" i="1"/>
  <c r="T190" i="1"/>
  <c r="U190" i="1"/>
  <c r="R191" i="1"/>
  <c r="S191" i="1"/>
  <c r="T191" i="1"/>
  <c r="U191" i="1"/>
  <c r="R192" i="1"/>
  <c r="S192" i="1"/>
  <c r="T192" i="1"/>
  <c r="U192" i="1"/>
  <c r="R193" i="1"/>
  <c r="S193" i="1"/>
  <c r="T193" i="1"/>
  <c r="U193" i="1"/>
  <c r="R194" i="1"/>
  <c r="S194" i="1"/>
  <c r="T194" i="1"/>
  <c r="U194" i="1"/>
  <c r="R195" i="1"/>
  <c r="S195" i="1"/>
  <c r="T195" i="1"/>
  <c r="U195" i="1"/>
  <c r="R196" i="1"/>
  <c r="S196" i="1"/>
  <c r="T196" i="1"/>
  <c r="U196" i="1"/>
  <c r="R197" i="1"/>
  <c r="S197" i="1"/>
  <c r="T197" i="1"/>
  <c r="U197" i="1"/>
  <c r="R198" i="1"/>
  <c r="S198" i="1"/>
  <c r="T198" i="1"/>
  <c r="U198" i="1"/>
  <c r="R199" i="1"/>
  <c r="S199" i="1"/>
  <c r="T199" i="1"/>
  <c r="U199" i="1"/>
  <c r="R200" i="1"/>
  <c r="S200" i="1"/>
  <c r="T200" i="1"/>
  <c r="U200" i="1"/>
  <c r="R201" i="1"/>
  <c r="S201" i="1"/>
  <c r="T201" i="1"/>
  <c r="U201" i="1"/>
  <c r="R202" i="1"/>
  <c r="S202" i="1"/>
  <c r="T202" i="1"/>
  <c r="U202" i="1"/>
  <c r="R203" i="1"/>
  <c r="S203" i="1"/>
  <c r="T203" i="1"/>
  <c r="U203" i="1"/>
  <c r="R204" i="1"/>
  <c r="S204" i="1"/>
  <c r="T204" i="1"/>
  <c r="U204" i="1"/>
  <c r="R205" i="1"/>
  <c r="S205" i="1"/>
  <c r="T205" i="1"/>
  <c r="U205" i="1"/>
  <c r="R206" i="1"/>
  <c r="S206" i="1"/>
  <c r="T206" i="1"/>
  <c r="U206" i="1"/>
  <c r="R207" i="1"/>
  <c r="S207" i="1"/>
  <c r="T207" i="1"/>
  <c r="U207" i="1"/>
  <c r="R208" i="1"/>
  <c r="S208" i="1"/>
  <c r="T208" i="1"/>
  <c r="U208" i="1"/>
  <c r="R209" i="1"/>
  <c r="S209" i="1"/>
  <c r="T209" i="1"/>
  <c r="U209" i="1"/>
  <c r="R210" i="1"/>
  <c r="S210" i="1"/>
  <c r="T210" i="1"/>
  <c r="U210" i="1"/>
  <c r="R211" i="1"/>
  <c r="S211" i="1"/>
  <c r="T211" i="1"/>
  <c r="U211" i="1"/>
  <c r="R212" i="1"/>
  <c r="S212" i="1"/>
  <c r="T212" i="1"/>
  <c r="U212" i="1"/>
  <c r="R213" i="1"/>
  <c r="S213" i="1"/>
  <c r="T213" i="1"/>
  <c r="U213" i="1"/>
  <c r="R214" i="1"/>
  <c r="S214" i="1"/>
  <c r="T214" i="1"/>
  <c r="U214" i="1"/>
  <c r="R215" i="1"/>
  <c r="S215" i="1"/>
  <c r="T215" i="1"/>
  <c r="U215" i="1"/>
  <c r="R216" i="1"/>
  <c r="S216" i="1"/>
  <c r="T216" i="1"/>
  <c r="U216" i="1"/>
  <c r="R217" i="1"/>
  <c r="S217" i="1"/>
  <c r="T217" i="1"/>
  <c r="U217" i="1"/>
  <c r="R218" i="1"/>
  <c r="S218" i="1"/>
  <c r="T218" i="1"/>
  <c r="U218" i="1"/>
  <c r="R219" i="1"/>
  <c r="S219" i="1"/>
  <c r="T219" i="1"/>
  <c r="U219" i="1"/>
  <c r="R220" i="1"/>
  <c r="S220" i="1"/>
  <c r="T220" i="1"/>
  <c r="U220" i="1"/>
  <c r="R221" i="1"/>
  <c r="S221" i="1"/>
  <c r="T221" i="1"/>
  <c r="U221" i="1"/>
  <c r="R222" i="1"/>
  <c r="S222" i="1"/>
  <c r="T222" i="1"/>
  <c r="U222" i="1"/>
  <c r="R223" i="1"/>
  <c r="S223" i="1"/>
  <c r="T223" i="1"/>
  <c r="U223" i="1"/>
  <c r="R224" i="1"/>
  <c r="S224" i="1"/>
  <c r="T224" i="1"/>
  <c r="U224" i="1"/>
  <c r="R225" i="1"/>
  <c r="S225" i="1"/>
  <c r="T225" i="1"/>
  <c r="U225" i="1"/>
  <c r="R226" i="1"/>
  <c r="S226" i="1"/>
  <c r="T226" i="1"/>
  <c r="U226" i="1"/>
  <c r="R227" i="1"/>
  <c r="S227" i="1"/>
  <c r="T227" i="1"/>
  <c r="U227" i="1"/>
  <c r="R228" i="1"/>
  <c r="S228" i="1"/>
  <c r="T228" i="1"/>
  <c r="U228" i="1"/>
  <c r="R229" i="1"/>
  <c r="S229" i="1"/>
  <c r="T229" i="1"/>
  <c r="U229" i="1"/>
  <c r="R230" i="1"/>
  <c r="S230" i="1"/>
  <c r="T230" i="1"/>
  <c r="U230" i="1"/>
  <c r="R231" i="1"/>
  <c r="S231" i="1"/>
  <c r="T231" i="1"/>
  <c r="U231" i="1"/>
  <c r="R232" i="1"/>
  <c r="S232" i="1"/>
  <c r="T232" i="1"/>
  <c r="U232" i="1"/>
  <c r="R233" i="1"/>
  <c r="S233" i="1"/>
  <c r="T233" i="1"/>
  <c r="U233" i="1"/>
  <c r="R234" i="1"/>
  <c r="S234" i="1"/>
  <c r="T234" i="1"/>
  <c r="U234" i="1"/>
  <c r="R235" i="1"/>
  <c r="S235" i="1"/>
  <c r="T235" i="1"/>
  <c r="U235" i="1"/>
  <c r="R236" i="1"/>
  <c r="S236" i="1"/>
  <c r="T236" i="1"/>
  <c r="U236" i="1"/>
  <c r="R237" i="1"/>
  <c r="S237" i="1"/>
  <c r="T237" i="1"/>
  <c r="U237" i="1"/>
  <c r="R238" i="1"/>
  <c r="S238" i="1"/>
  <c r="T238" i="1"/>
  <c r="U238" i="1"/>
  <c r="R239" i="1"/>
  <c r="S239" i="1"/>
  <c r="T239" i="1"/>
  <c r="U239" i="1"/>
  <c r="R240" i="1"/>
  <c r="S240" i="1"/>
  <c r="T240" i="1"/>
  <c r="U240" i="1"/>
  <c r="R241" i="1"/>
  <c r="S241" i="1"/>
  <c r="T241" i="1"/>
  <c r="U241" i="1"/>
  <c r="R242" i="1"/>
  <c r="S242" i="1"/>
  <c r="T242" i="1"/>
  <c r="U242" i="1"/>
  <c r="R243" i="1"/>
  <c r="S243" i="1"/>
  <c r="T243" i="1"/>
  <c r="U243" i="1"/>
  <c r="R244" i="1"/>
  <c r="S244" i="1"/>
  <c r="T244" i="1"/>
  <c r="U244" i="1"/>
  <c r="R245" i="1"/>
  <c r="S245" i="1"/>
  <c r="T245" i="1"/>
  <c r="U245" i="1"/>
  <c r="R246" i="1"/>
  <c r="S246" i="1"/>
  <c r="T246" i="1"/>
  <c r="U246" i="1"/>
  <c r="R247" i="1"/>
  <c r="S247" i="1"/>
  <c r="T247" i="1"/>
  <c r="U247" i="1"/>
  <c r="R248" i="1"/>
  <c r="S248" i="1"/>
  <c r="T248" i="1"/>
  <c r="U248" i="1"/>
  <c r="R249" i="1"/>
  <c r="S249" i="1"/>
  <c r="T249" i="1"/>
  <c r="U249" i="1"/>
  <c r="R250" i="1"/>
  <c r="S250" i="1"/>
  <c r="T250" i="1"/>
  <c r="U250" i="1"/>
  <c r="R251" i="1"/>
  <c r="S251" i="1"/>
  <c r="T251" i="1"/>
  <c r="U251" i="1"/>
  <c r="R252" i="1"/>
  <c r="S252" i="1"/>
  <c r="T252" i="1"/>
  <c r="U252" i="1"/>
  <c r="R253" i="1"/>
  <c r="S253" i="1"/>
  <c r="T253" i="1"/>
  <c r="U253" i="1"/>
  <c r="R254" i="1"/>
  <c r="S254" i="1"/>
  <c r="T254" i="1"/>
  <c r="U254" i="1"/>
  <c r="R255" i="1"/>
  <c r="S255" i="1"/>
  <c r="T255" i="1"/>
  <c r="U255" i="1"/>
  <c r="R256" i="1"/>
  <c r="S256" i="1"/>
  <c r="T256" i="1"/>
  <c r="U256" i="1"/>
  <c r="R257" i="1"/>
  <c r="S257" i="1"/>
  <c r="T257" i="1"/>
  <c r="U257" i="1"/>
  <c r="R258" i="1"/>
  <c r="S258" i="1"/>
  <c r="T258" i="1"/>
  <c r="U258" i="1"/>
  <c r="R259" i="1"/>
  <c r="S259" i="1"/>
  <c r="T259" i="1"/>
  <c r="U259" i="1"/>
  <c r="R260" i="1"/>
  <c r="S260" i="1"/>
  <c r="T260" i="1"/>
  <c r="U260" i="1"/>
  <c r="R261" i="1"/>
  <c r="S261" i="1"/>
  <c r="T261" i="1"/>
  <c r="U261" i="1"/>
  <c r="R262" i="1"/>
  <c r="S262" i="1"/>
  <c r="T262" i="1"/>
  <c r="U262" i="1"/>
  <c r="R263" i="1"/>
  <c r="S263" i="1"/>
  <c r="T263" i="1"/>
  <c r="U263" i="1"/>
  <c r="R264" i="1"/>
  <c r="S264" i="1"/>
  <c r="T264" i="1"/>
  <c r="U264" i="1"/>
  <c r="R265" i="1"/>
  <c r="S265" i="1"/>
  <c r="T265" i="1"/>
  <c r="U265" i="1"/>
  <c r="R266" i="1"/>
  <c r="S266" i="1"/>
  <c r="T266" i="1"/>
  <c r="U266" i="1"/>
  <c r="R267" i="1"/>
  <c r="S267" i="1"/>
  <c r="T267" i="1"/>
  <c r="U267" i="1"/>
  <c r="R268" i="1"/>
  <c r="S268" i="1"/>
  <c r="T268" i="1"/>
  <c r="U268" i="1"/>
  <c r="R269" i="1"/>
  <c r="S269" i="1"/>
  <c r="T269" i="1"/>
  <c r="U269" i="1"/>
  <c r="R270" i="1"/>
  <c r="S270" i="1"/>
  <c r="T270" i="1"/>
  <c r="U270" i="1"/>
  <c r="R271" i="1"/>
  <c r="S271" i="1"/>
  <c r="T271" i="1"/>
  <c r="U271" i="1"/>
  <c r="R272" i="1"/>
  <c r="S272" i="1"/>
  <c r="T272" i="1"/>
  <c r="U272" i="1"/>
  <c r="R273" i="1"/>
  <c r="S273" i="1"/>
  <c r="T273" i="1"/>
  <c r="U273" i="1"/>
  <c r="R274" i="1"/>
  <c r="S274" i="1"/>
  <c r="T274" i="1"/>
  <c r="U274" i="1"/>
  <c r="R275" i="1"/>
  <c r="S275" i="1"/>
  <c r="T275" i="1"/>
  <c r="U275" i="1"/>
  <c r="R276" i="1"/>
  <c r="S276" i="1"/>
  <c r="T276" i="1"/>
  <c r="U276" i="1"/>
  <c r="R277" i="1"/>
  <c r="S277" i="1"/>
  <c r="T277" i="1"/>
  <c r="U277" i="1"/>
  <c r="R278" i="1"/>
  <c r="S278" i="1"/>
  <c r="T278" i="1"/>
  <c r="U278" i="1"/>
  <c r="R279" i="1"/>
  <c r="S279" i="1"/>
  <c r="T279" i="1"/>
  <c r="U279" i="1"/>
  <c r="R280" i="1"/>
  <c r="S280" i="1"/>
  <c r="T280" i="1"/>
  <c r="U280" i="1"/>
  <c r="R281" i="1"/>
  <c r="S281" i="1"/>
  <c r="T281" i="1"/>
  <c r="U281" i="1"/>
  <c r="R282" i="1"/>
  <c r="S282" i="1"/>
  <c r="T282" i="1"/>
  <c r="U282" i="1"/>
  <c r="R283" i="1"/>
  <c r="S283" i="1"/>
  <c r="T283" i="1"/>
  <c r="U283" i="1"/>
  <c r="R284" i="1"/>
  <c r="S284" i="1"/>
  <c r="T284" i="1"/>
  <c r="U284" i="1"/>
  <c r="R285" i="1"/>
  <c r="S285" i="1"/>
  <c r="T285" i="1"/>
  <c r="U285" i="1"/>
  <c r="R286" i="1"/>
  <c r="S286" i="1"/>
  <c r="T286" i="1"/>
  <c r="U286" i="1"/>
  <c r="R287" i="1"/>
  <c r="S287" i="1"/>
  <c r="T287" i="1"/>
  <c r="U287" i="1"/>
  <c r="R288" i="1"/>
  <c r="S288" i="1"/>
  <c r="T288" i="1"/>
  <c r="U288" i="1"/>
  <c r="R289" i="1"/>
  <c r="S289" i="1"/>
  <c r="T289" i="1"/>
  <c r="U289" i="1"/>
  <c r="R290" i="1"/>
  <c r="S290" i="1"/>
  <c r="T290" i="1"/>
  <c r="U290" i="1"/>
  <c r="R291" i="1"/>
  <c r="S291" i="1"/>
  <c r="T291" i="1"/>
  <c r="U291" i="1"/>
  <c r="R292" i="1"/>
  <c r="S292" i="1"/>
  <c r="T292" i="1"/>
  <c r="U292" i="1"/>
  <c r="R293" i="1"/>
  <c r="S293" i="1"/>
  <c r="T293" i="1"/>
  <c r="U293" i="1"/>
  <c r="R294" i="1"/>
  <c r="S294" i="1"/>
  <c r="T294" i="1"/>
  <c r="U294" i="1"/>
  <c r="R295" i="1"/>
  <c r="S295" i="1"/>
  <c r="T295" i="1"/>
  <c r="U295" i="1"/>
  <c r="R296" i="1"/>
  <c r="S296" i="1"/>
  <c r="T296" i="1"/>
  <c r="U296" i="1"/>
  <c r="R297" i="1"/>
  <c r="S297" i="1"/>
  <c r="T297" i="1"/>
  <c r="U297" i="1"/>
  <c r="R298" i="1"/>
  <c r="S298" i="1"/>
  <c r="T298" i="1"/>
  <c r="U298" i="1"/>
  <c r="R299" i="1"/>
  <c r="S299" i="1"/>
  <c r="T299" i="1"/>
  <c r="U299" i="1"/>
  <c r="R300" i="1"/>
  <c r="S300" i="1"/>
  <c r="T300" i="1"/>
  <c r="U300" i="1"/>
  <c r="R301" i="1"/>
  <c r="S301" i="1"/>
  <c r="T301" i="1"/>
  <c r="U301" i="1"/>
  <c r="R302" i="1"/>
  <c r="S302" i="1"/>
  <c r="T302" i="1"/>
  <c r="U302" i="1"/>
  <c r="R303" i="1"/>
  <c r="S303" i="1"/>
  <c r="T303" i="1"/>
  <c r="U303" i="1"/>
  <c r="R304" i="1"/>
  <c r="S304" i="1"/>
  <c r="T304" i="1"/>
  <c r="U304" i="1"/>
  <c r="R305" i="1"/>
  <c r="S305" i="1"/>
  <c r="T305" i="1"/>
  <c r="U305" i="1"/>
  <c r="R306" i="1"/>
  <c r="S306" i="1"/>
  <c r="T306" i="1"/>
  <c r="U306" i="1"/>
  <c r="R307" i="1"/>
  <c r="S307" i="1"/>
  <c r="T307" i="1"/>
  <c r="U307" i="1"/>
  <c r="R308" i="1"/>
  <c r="S308" i="1"/>
  <c r="T308" i="1"/>
  <c r="U308" i="1"/>
  <c r="R309" i="1"/>
  <c r="S309" i="1"/>
  <c r="T309" i="1"/>
  <c r="U309" i="1"/>
  <c r="R310" i="1"/>
  <c r="S310" i="1"/>
  <c r="T310" i="1"/>
  <c r="U310" i="1"/>
  <c r="R311" i="1"/>
  <c r="S311" i="1"/>
  <c r="T311" i="1"/>
  <c r="U311" i="1"/>
  <c r="R312" i="1"/>
  <c r="S312" i="1"/>
  <c r="T312" i="1"/>
  <c r="U312" i="1"/>
  <c r="R313" i="1"/>
  <c r="S313" i="1"/>
  <c r="T313" i="1"/>
  <c r="U313" i="1"/>
  <c r="R314" i="1"/>
  <c r="S314" i="1"/>
  <c r="T314" i="1"/>
  <c r="U314" i="1"/>
  <c r="R315" i="1"/>
  <c r="S315" i="1"/>
  <c r="T315" i="1"/>
  <c r="U315" i="1"/>
  <c r="R316" i="1"/>
  <c r="S316" i="1"/>
  <c r="T316" i="1"/>
  <c r="U316" i="1"/>
  <c r="R317" i="1"/>
  <c r="S317" i="1"/>
  <c r="T317" i="1"/>
  <c r="U317" i="1"/>
  <c r="R318" i="1"/>
  <c r="S318" i="1"/>
  <c r="T318" i="1"/>
  <c r="U318" i="1"/>
  <c r="R319" i="1"/>
  <c r="S319" i="1"/>
  <c r="T319" i="1"/>
  <c r="U319" i="1"/>
  <c r="R320" i="1"/>
  <c r="S320" i="1"/>
  <c r="T320" i="1"/>
  <c r="U320" i="1"/>
  <c r="R321" i="1"/>
  <c r="S321" i="1"/>
  <c r="T321" i="1"/>
  <c r="U321" i="1"/>
  <c r="R322" i="1"/>
  <c r="S322" i="1"/>
  <c r="T322" i="1"/>
  <c r="U322" i="1"/>
  <c r="R323" i="1"/>
  <c r="S323" i="1"/>
  <c r="T323" i="1"/>
  <c r="U323" i="1"/>
  <c r="R324" i="1"/>
  <c r="S324" i="1"/>
  <c r="T324" i="1"/>
  <c r="U324" i="1"/>
  <c r="R325" i="1"/>
  <c r="S325" i="1"/>
  <c r="T325" i="1"/>
  <c r="U325" i="1"/>
  <c r="R326" i="1"/>
  <c r="S326" i="1"/>
  <c r="T326" i="1"/>
  <c r="U326" i="1"/>
  <c r="R327" i="1"/>
  <c r="S327" i="1"/>
  <c r="T327" i="1"/>
  <c r="U327" i="1"/>
  <c r="R328" i="1"/>
  <c r="S328" i="1"/>
  <c r="T328" i="1"/>
  <c r="U328" i="1"/>
  <c r="R329" i="1"/>
  <c r="S329" i="1"/>
  <c r="T329" i="1"/>
  <c r="U329" i="1"/>
  <c r="R330" i="1"/>
  <c r="S330" i="1"/>
  <c r="T330" i="1"/>
  <c r="U330" i="1"/>
  <c r="R331" i="1"/>
  <c r="S331" i="1"/>
  <c r="T331" i="1"/>
  <c r="U331" i="1"/>
  <c r="R332" i="1"/>
  <c r="S332" i="1"/>
  <c r="T332" i="1"/>
  <c r="U332" i="1"/>
  <c r="R333" i="1"/>
  <c r="S333" i="1"/>
  <c r="T333" i="1"/>
  <c r="U333" i="1"/>
  <c r="R334" i="1"/>
  <c r="S334" i="1"/>
  <c r="T334" i="1"/>
  <c r="U334" i="1"/>
  <c r="R335" i="1"/>
  <c r="S335" i="1"/>
  <c r="T335" i="1"/>
  <c r="U335" i="1"/>
  <c r="R336" i="1"/>
  <c r="S336" i="1"/>
  <c r="T336" i="1"/>
  <c r="U336" i="1"/>
  <c r="R337" i="1"/>
  <c r="S337" i="1"/>
  <c r="T337" i="1"/>
  <c r="U337" i="1"/>
  <c r="R338" i="1"/>
  <c r="S338" i="1"/>
  <c r="T338" i="1"/>
  <c r="U338" i="1"/>
  <c r="R339" i="1"/>
  <c r="S339" i="1"/>
  <c r="T339" i="1"/>
  <c r="U339" i="1"/>
  <c r="R340" i="1"/>
  <c r="S340" i="1"/>
  <c r="T340" i="1"/>
  <c r="U340" i="1"/>
  <c r="R341" i="1"/>
  <c r="S341" i="1"/>
  <c r="T341" i="1"/>
  <c r="U341" i="1"/>
  <c r="R342" i="1"/>
  <c r="S342" i="1"/>
  <c r="T342" i="1"/>
  <c r="U342" i="1"/>
  <c r="R343" i="1"/>
  <c r="S343" i="1"/>
  <c r="T343" i="1"/>
  <c r="U343" i="1"/>
  <c r="R344" i="1"/>
  <c r="S344" i="1"/>
  <c r="T344" i="1"/>
  <c r="U344" i="1"/>
  <c r="R345" i="1"/>
  <c r="S345" i="1"/>
  <c r="T345" i="1"/>
  <c r="U345" i="1"/>
  <c r="R346" i="1"/>
  <c r="S346" i="1"/>
  <c r="T346" i="1"/>
  <c r="U346" i="1"/>
  <c r="R347" i="1"/>
  <c r="S347" i="1"/>
  <c r="T347" i="1"/>
  <c r="U347" i="1"/>
  <c r="R348" i="1"/>
  <c r="S348" i="1"/>
  <c r="T348" i="1"/>
  <c r="U348" i="1"/>
  <c r="R349" i="1"/>
  <c r="S349" i="1"/>
  <c r="T349" i="1"/>
  <c r="U349" i="1"/>
  <c r="R350" i="1"/>
  <c r="S350" i="1"/>
  <c r="T350" i="1"/>
  <c r="U350" i="1"/>
  <c r="R351" i="1"/>
  <c r="S351" i="1"/>
  <c r="T351" i="1"/>
  <c r="U351" i="1"/>
  <c r="R352" i="1"/>
  <c r="S352" i="1"/>
  <c r="T352" i="1"/>
  <c r="U352" i="1"/>
  <c r="R353" i="1"/>
  <c r="S353" i="1"/>
  <c r="T353" i="1"/>
  <c r="U353" i="1"/>
  <c r="R354" i="1"/>
  <c r="S354" i="1"/>
  <c r="T354" i="1"/>
  <c r="U354" i="1"/>
  <c r="R355" i="1"/>
  <c r="S355" i="1"/>
  <c r="T355" i="1"/>
  <c r="U355" i="1"/>
  <c r="R356" i="1"/>
  <c r="S356" i="1"/>
  <c r="T356" i="1"/>
  <c r="U356" i="1"/>
  <c r="R357" i="1"/>
  <c r="S357" i="1"/>
  <c r="T357" i="1"/>
  <c r="U357" i="1"/>
  <c r="R358" i="1"/>
  <c r="S358" i="1"/>
  <c r="T358" i="1"/>
  <c r="U358" i="1"/>
  <c r="R359" i="1"/>
  <c r="S359" i="1"/>
  <c r="T359" i="1"/>
  <c r="U359" i="1"/>
  <c r="R360" i="1"/>
  <c r="S360" i="1"/>
  <c r="T360" i="1"/>
  <c r="U360" i="1"/>
  <c r="R361" i="1"/>
  <c r="S361" i="1"/>
  <c r="T361" i="1"/>
  <c r="U361" i="1"/>
  <c r="R362" i="1"/>
  <c r="S362" i="1"/>
  <c r="T362" i="1"/>
  <c r="U362" i="1"/>
  <c r="R363" i="1"/>
  <c r="S363" i="1"/>
  <c r="T363" i="1"/>
  <c r="U363" i="1"/>
  <c r="R364" i="1"/>
  <c r="S364" i="1"/>
  <c r="T364" i="1"/>
  <c r="U364" i="1"/>
  <c r="R365" i="1"/>
  <c r="S365" i="1"/>
  <c r="T365" i="1"/>
  <c r="U365" i="1"/>
  <c r="R366" i="1"/>
  <c r="S366" i="1"/>
  <c r="T366" i="1"/>
  <c r="U366" i="1"/>
  <c r="R367" i="1"/>
  <c r="S367" i="1"/>
  <c r="T367" i="1"/>
  <c r="U367" i="1"/>
  <c r="R368" i="1"/>
  <c r="S368" i="1"/>
  <c r="T368" i="1"/>
  <c r="U368" i="1"/>
  <c r="R369" i="1"/>
  <c r="S369" i="1"/>
  <c r="T369" i="1"/>
  <c r="U369" i="1"/>
  <c r="R370" i="1"/>
  <c r="S370" i="1"/>
  <c r="T370" i="1"/>
  <c r="U370" i="1"/>
  <c r="R371" i="1"/>
  <c r="S371" i="1"/>
  <c r="T371" i="1"/>
  <c r="U371" i="1"/>
  <c r="R372" i="1"/>
  <c r="S372" i="1"/>
  <c r="T372" i="1"/>
  <c r="U372" i="1"/>
  <c r="R373" i="1"/>
  <c r="S373" i="1"/>
  <c r="T373" i="1"/>
  <c r="U373" i="1"/>
  <c r="R374" i="1"/>
  <c r="S374" i="1"/>
  <c r="T374" i="1"/>
  <c r="U374" i="1"/>
  <c r="R375" i="1"/>
  <c r="S375" i="1"/>
  <c r="T375" i="1"/>
  <c r="U375" i="1"/>
  <c r="R376" i="1"/>
  <c r="S376" i="1"/>
  <c r="T376" i="1"/>
  <c r="U376" i="1"/>
  <c r="R377" i="1"/>
  <c r="S377" i="1"/>
  <c r="T377" i="1"/>
  <c r="U377" i="1"/>
  <c r="R378" i="1"/>
  <c r="S378" i="1"/>
  <c r="T378" i="1"/>
  <c r="U378" i="1"/>
  <c r="R379" i="1"/>
  <c r="S379" i="1"/>
  <c r="T379" i="1"/>
  <c r="U379" i="1"/>
  <c r="R380" i="1"/>
  <c r="S380" i="1"/>
  <c r="T380" i="1"/>
  <c r="U380" i="1"/>
  <c r="R381" i="1"/>
  <c r="S381" i="1"/>
  <c r="T381" i="1"/>
  <c r="U381" i="1"/>
  <c r="R382" i="1"/>
  <c r="S382" i="1"/>
  <c r="T382" i="1"/>
  <c r="U382" i="1"/>
  <c r="R383" i="1"/>
  <c r="S383" i="1"/>
  <c r="T383" i="1"/>
  <c r="U383" i="1"/>
  <c r="R384" i="1"/>
  <c r="S384" i="1"/>
  <c r="T384" i="1"/>
  <c r="U384" i="1"/>
  <c r="R385" i="1"/>
  <c r="S385" i="1"/>
  <c r="T385" i="1"/>
  <c r="U385" i="1"/>
  <c r="R386" i="1"/>
  <c r="S386" i="1"/>
  <c r="T386" i="1"/>
  <c r="U386" i="1"/>
  <c r="R387" i="1"/>
  <c r="S387" i="1"/>
  <c r="T387" i="1"/>
  <c r="U387" i="1"/>
  <c r="R388" i="1"/>
  <c r="S388" i="1"/>
  <c r="T388" i="1"/>
  <c r="U388" i="1"/>
  <c r="R389" i="1"/>
  <c r="S389" i="1"/>
  <c r="T389" i="1"/>
  <c r="U389" i="1"/>
  <c r="R390" i="1"/>
  <c r="S390" i="1"/>
  <c r="T390" i="1"/>
  <c r="U390" i="1"/>
  <c r="R391" i="1"/>
  <c r="S391" i="1"/>
  <c r="T391" i="1"/>
  <c r="U391" i="1"/>
  <c r="R392" i="1"/>
  <c r="S392" i="1"/>
  <c r="T392" i="1"/>
  <c r="U392" i="1"/>
  <c r="R393" i="1"/>
  <c r="S393" i="1"/>
  <c r="T393" i="1"/>
  <c r="U393" i="1"/>
  <c r="R394" i="1"/>
  <c r="S394" i="1"/>
  <c r="T394" i="1"/>
  <c r="U394" i="1"/>
  <c r="R395" i="1"/>
  <c r="S395" i="1"/>
  <c r="T395" i="1"/>
  <c r="U395" i="1"/>
  <c r="R396" i="1"/>
  <c r="S396" i="1"/>
  <c r="T396" i="1"/>
  <c r="U396" i="1"/>
  <c r="R397" i="1"/>
  <c r="S397" i="1"/>
  <c r="T397" i="1"/>
  <c r="U397" i="1"/>
  <c r="R398" i="1"/>
  <c r="S398" i="1"/>
  <c r="T398" i="1"/>
  <c r="U398" i="1"/>
  <c r="R399" i="1"/>
  <c r="S399" i="1"/>
  <c r="T399" i="1"/>
  <c r="U399" i="1"/>
  <c r="R400" i="1"/>
  <c r="S400" i="1"/>
  <c r="T400" i="1"/>
  <c r="U400" i="1"/>
  <c r="R401" i="1"/>
  <c r="S401" i="1"/>
  <c r="T401" i="1"/>
  <c r="U401" i="1"/>
  <c r="R402" i="1"/>
  <c r="S402" i="1"/>
  <c r="T402" i="1"/>
  <c r="U402" i="1"/>
  <c r="R403" i="1"/>
  <c r="S403" i="1"/>
  <c r="T403" i="1"/>
  <c r="U403" i="1"/>
  <c r="R404" i="1"/>
  <c r="S404" i="1"/>
  <c r="T404" i="1"/>
  <c r="U404" i="1"/>
  <c r="R405" i="1"/>
  <c r="S405" i="1"/>
  <c r="T405" i="1"/>
  <c r="U405" i="1"/>
  <c r="R406" i="1"/>
  <c r="S406" i="1"/>
  <c r="T406" i="1"/>
  <c r="U406" i="1"/>
  <c r="R407" i="1"/>
  <c r="S407" i="1"/>
  <c r="T407" i="1"/>
  <c r="U407" i="1"/>
  <c r="R408" i="1"/>
  <c r="S408" i="1"/>
  <c r="T408" i="1"/>
  <c r="U408" i="1"/>
  <c r="R409" i="1"/>
  <c r="S409" i="1"/>
  <c r="T409" i="1"/>
  <c r="U409" i="1"/>
  <c r="R410" i="1"/>
  <c r="S410" i="1"/>
  <c r="T410" i="1"/>
  <c r="U410" i="1"/>
  <c r="R411" i="1"/>
  <c r="S411" i="1"/>
  <c r="T411" i="1"/>
  <c r="U411" i="1"/>
  <c r="R412" i="1"/>
  <c r="S412" i="1"/>
  <c r="T412" i="1"/>
  <c r="U412" i="1"/>
  <c r="R413" i="1"/>
  <c r="S413" i="1"/>
  <c r="T413" i="1"/>
  <c r="U413" i="1"/>
  <c r="R414" i="1"/>
  <c r="S414" i="1"/>
  <c r="T414" i="1"/>
  <c r="U414" i="1"/>
  <c r="R415" i="1"/>
  <c r="S415" i="1"/>
  <c r="T415" i="1"/>
  <c r="U415" i="1"/>
  <c r="R416" i="1"/>
  <c r="S416" i="1"/>
  <c r="T416" i="1"/>
  <c r="U416" i="1"/>
  <c r="R417" i="1"/>
  <c r="S417" i="1"/>
  <c r="T417" i="1"/>
  <c r="U417" i="1"/>
  <c r="R418" i="1"/>
  <c r="S418" i="1"/>
  <c r="T418" i="1"/>
  <c r="U418" i="1"/>
  <c r="R419" i="1"/>
  <c r="S419" i="1"/>
  <c r="T419" i="1"/>
  <c r="U419" i="1"/>
  <c r="R420" i="1"/>
  <c r="S420" i="1"/>
  <c r="T420" i="1"/>
  <c r="U420" i="1"/>
  <c r="R421" i="1"/>
  <c r="S421" i="1"/>
  <c r="T421" i="1"/>
  <c r="U421" i="1"/>
  <c r="R422" i="1"/>
  <c r="S422" i="1"/>
  <c r="T422" i="1"/>
  <c r="U422" i="1"/>
  <c r="R423" i="1"/>
  <c r="S423" i="1"/>
  <c r="T423" i="1"/>
  <c r="U423" i="1"/>
  <c r="R424" i="1"/>
  <c r="S424" i="1"/>
  <c r="T424" i="1"/>
  <c r="U424" i="1"/>
  <c r="R425" i="1"/>
  <c r="S425" i="1"/>
  <c r="T425" i="1"/>
  <c r="U425" i="1"/>
  <c r="R426" i="1"/>
  <c r="S426" i="1"/>
  <c r="T426" i="1"/>
  <c r="U426" i="1"/>
  <c r="R427" i="1"/>
  <c r="S427" i="1"/>
  <c r="T427" i="1"/>
  <c r="U427" i="1"/>
  <c r="R428" i="1"/>
  <c r="S428" i="1"/>
  <c r="T428" i="1"/>
  <c r="U428" i="1"/>
  <c r="R429" i="1"/>
  <c r="S429" i="1"/>
  <c r="T429" i="1"/>
  <c r="U429" i="1"/>
  <c r="R430" i="1"/>
  <c r="S430" i="1"/>
  <c r="T430" i="1"/>
  <c r="U430" i="1"/>
  <c r="R431" i="1"/>
  <c r="S431" i="1"/>
  <c r="T431" i="1"/>
  <c r="U431" i="1"/>
  <c r="R432" i="1"/>
  <c r="S432" i="1"/>
  <c r="T432" i="1"/>
  <c r="U432" i="1"/>
  <c r="R433" i="1"/>
  <c r="S433" i="1"/>
  <c r="T433" i="1"/>
  <c r="U433" i="1"/>
  <c r="R434" i="1"/>
  <c r="S434" i="1"/>
  <c r="T434" i="1"/>
  <c r="U434" i="1"/>
  <c r="R435" i="1"/>
  <c r="S435" i="1"/>
  <c r="T435" i="1"/>
  <c r="U435" i="1"/>
  <c r="R436" i="1"/>
  <c r="S436" i="1"/>
  <c r="T436" i="1"/>
  <c r="U436" i="1"/>
  <c r="R437" i="1"/>
  <c r="S437" i="1"/>
  <c r="T437" i="1"/>
  <c r="U437" i="1"/>
  <c r="R438" i="1"/>
  <c r="S438" i="1"/>
  <c r="T438" i="1"/>
  <c r="U438" i="1"/>
  <c r="R439" i="1"/>
  <c r="S439" i="1"/>
  <c r="T439" i="1"/>
  <c r="U439" i="1"/>
  <c r="R440" i="1"/>
  <c r="S440" i="1"/>
  <c r="T440" i="1"/>
  <c r="U440" i="1"/>
  <c r="R441" i="1"/>
  <c r="S441" i="1"/>
  <c r="T441" i="1"/>
  <c r="U441" i="1"/>
  <c r="R442" i="1"/>
  <c r="S442" i="1"/>
  <c r="T442" i="1"/>
  <c r="U442" i="1"/>
  <c r="R443" i="1"/>
  <c r="S443" i="1"/>
  <c r="T443" i="1"/>
  <c r="U443" i="1"/>
  <c r="R444" i="1"/>
  <c r="S444" i="1"/>
  <c r="T444" i="1"/>
  <c r="U444" i="1"/>
  <c r="R445" i="1"/>
  <c r="S445" i="1"/>
  <c r="T445" i="1"/>
  <c r="U445" i="1"/>
  <c r="R446" i="1"/>
  <c r="S446" i="1"/>
  <c r="T446" i="1"/>
  <c r="U446" i="1"/>
  <c r="R447" i="1"/>
  <c r="S447" i="1"/>
  <c r="T447" i="1"/>
  <c r="U447" i="1"/>
  <c r="R448" i="1"/>
  <c r="S448" i="1"/>
  <c r="T448" i="1"/>
  <c r="U448" i="1"/>
  <c r="R449" i="1"/>
  <c r="S449" i="1"/>
  <c r="T449" i="1"/>
  <c r="U449" i="1"/>
  <c r="R450" i="1"/>
  <c r="S450" i="1"/>
  <c r="T450" i="1"/>
  <c r="U450" i="1"/>
  <c r="R451" i="1"/>
  <c r="S451" i="1"/>
  <c r="T451" i="1"/>
  <c r="U451" i="1"/>
  <c r="R452" i="1"/>
  <c r="S452" i="1"/>
  <c r="T452" i="1"/>
  <c r="U452" i="1"/>
  <c r="R453" i="1"/>
  <c r="S453" i="1"/>
  <c r="T453" i="1"/>
  <c r="U453" i="1"/>
  <c r="R454" i="1"/>
  <c r="S454" i="1"/>
  <c r="T454" i="1"/>
  <c r="U454" i="1"/>
  <c r="R455" i="1"/>
  <c r="S455" i="1"/>
  <c r="T455" i="1"/>
  <c r="U455" i="1"/>
  <c r="R456" i="1"/>
  <c r="S456" i="1"/>
  <c r="T456" i="1"/>
  <c r="U456" i="1"/>
  <c r="R457" i="1"/>
  <c r="S457" i="1"/>
  <c r="T457" i="1"/>
  <c r="U457" i="1"/>
  <c r="R458" i="1"/>
  <c r="S458" i="1"/>
  <c r="T458" i="1"/>
  <c r="U458" i="1"/>
  <c r="R459" i="1"/>
  <c r="S459" i="1"/>
  <c r="T459" i="1"/>
  <c r="U459" i="1"/>
  <c r="R460" i="1"/>
  <c r="S460" i="1"/>
  <c r="T460" i="1"/>
  <c r="U460" i="1"/>
  <c r="R461" i="1"/>
  <c r="S461" i="1"/>
  <c r="T461" i="1"/>
  <c r="U461" i="1"/>
  <c r="R462" i="1"/>
  <c r="S462" i="1"/>
  <c r="T462" i="1"/>
  <c r="U462" i="1"/>
  <c r="R463" i="1"/>
  <c r="S463" i="1"/>
  <c r="T463" i="1"/>
  <c r="U463" i="1"/>
  <c r="R464" i="1"/>
  <c r="S464" i="1"/>
  <c r="T464" i="1"/>
  <c r="U464" i="1"/>
  <c r="R465" i="1"/>
  <c r="S465" i="1"/>
  <c r="T465" i="1"/>
  <c r="U465" i="1"/>
  <c r="R466" i="1"/>
  <c r="S466" i="1"/>
  <c r="T466" i="1"/>
  <c r="U466" i="1"/>
  <c r="R467" i="1"/>
  <c r="S467" i="1"/>
  <c r="T467" i="1"/>
  <c r="U467" i="1"/>
  <c r="R468" i="1"/>
  <c r="S468" i="1"/>
  <c r="T468" i="1"/>
  <c r="U468" i="1"/>
  <c r="R469" i="1"/>
  <c r="S469" i="1"/>
  <c r="T469" i="1"/>
  <c r="U469" i="1"/>
  <c r="R470" i="1"/>
  <c r="S470" i="1"/>
  <c r="T470" i="1"/>
  <c r="U470" i="1"/>
  <c r="R471" i="1"/>
  <c r="S471" i="1"/>
  <c r="T471" i="1"/>
  <c r="U471" i="1"/>
  <c r="R472" i="1"/>
  <c r="S472" i="1"/>
  <c r="T472" i="1"/>
  <c r="U472" i="1"/>
  <c r="R473" i="1"/>
  <c r="S473" i="1"/>
  <c r="T473" i="1"/>
  <c r="U473" i="1"/>
  <c r="R474" i="1"/>
  <c r="S474" i="1"/>
  <c r="T474" i="1"/>
  <c r="U474" i="1"/>
  <c r="R475" i="1"/>
  <c r="S475" i="1"/>
  <c r="T475" i="1"/>
  <c r="U475" i="1"/>
  <c r="R476" i="1"/>
  <c r="S476" i="1"/>
  <c r="T476" i="1"/>
  <c r="U476" i="1"/>
  <c r="R477" i="1"/>
  <c r="S477" i="1"/>
  <c r="T477" i="1"/>
  <c r="U477" i="1"/>
  <c r="R478" i="1"/>
  <c r="S478" i="1"/>
  <c r="T478" i="1"/>
  <c r="U478" i="1"/>
  <c r="R479" i="1"/>
  <c r="S479" i="1"/>
  <c r="T479" i="1"/>
  <c r="U479" i="1"/>
  <c r="R480" i="1"/>
  <c r="S480" i="1"/>
  <c r="T480" i="1"/>
  <c r="U480" i="1"/>
  <c r="R481" i="1"/>
  <c r="S481" i="1"/>
  <c r="T481" i="1"/>
  <c r="U481" i="1"/>
  <c r="R482" i="1"/>
  <c r="S482" i="1"/>
  <c r="T482" i="1"/>
  <c r="U482" i="1"/>
  <c r="R483" i="1"/>
  <c r="S483" i="1"/>
  <c r="T483" i="1"/>
  <c r="U483" i="1"/>
  <c r="R484" i="1"/>
  <c r="S484" i="1"/>
  <c r="T484" i="1"/>
  <c r="U484" i="1"/>
  <c r="R485" i="1"/>
  <c r="S485" i="1"/>
  <c r="T485" i="1"/>
  <c r="U485" i="1"/>
  <c r="R486" i="1"/>
  <c r="S486" i="1"/>
  <c r="T486" i="1"/>
  <c r="U486" i="1"/>
  <c r="R487" i="1"/>
  <c r="S487" i="1"/>
  <c r="T487" i="1"/>
  <c r="U487" i="1"/>
  <c r="R488" i="1"/>
  <c r="S488" i="1"/>
  <c r="T488" i="1"/>
  <c r="U488" i="1"/>
  <c r="R489" i="1"/>
  <c r="S489" i="1"/>
  <c r="T489" i="1"/>
  <c r="U489" i="1"/>
  <c r="R490" i="1"/>
  <c r="S490" i="1"/>
  <c r="T490" i="1"/>
  <c r="U490" i="1"/>
  <c r="R491" i="1"/>
  <c r="S491" i="1"/>
  <c r="T491" i="1"/>
  <c r="U491" i="1"/>
  <c r="R492" i="1"/>
  <c r="S492" i="1"/>
  <c r="T492" i="1"/>
  <c r="U492" i="1"/>
  <c r="R493" i="1"/>
  <c r="S493" i="1"/>
  <c r="T493" i="1"/>
  <c r="U493" i="1"/>
  <c r="R494" i="1"/>
  <c r="S494" i="1"/>
  <c r="T494" i="1"/>
  <c r="U494" i="1"/>
  <c r="R495" i="1"/>
  <c r="S495" i="1"/>
  <c r="T495" i="1"/>
  <c r="U495" i="1"/>
  <c r="R496" i="1"/>
  <c r="S496" i="1"/>
  <c r="T496" i="1"/>
  <c r="U496" i="1"/>
  <c r="R497" i="1"/>
  <c r="S497" i="1"/>
  <c r="T497" i="1"/>
  <c r="U497" i="1"/>
  <c r="R498" i="1"/>
  <c r="S498" i="1"/>
  <c r="T498" i="1"/>
  <c r="U498" i="1"/>
  <c r="R499" i="1"/>
  <c r="S499" i="1"/>
  <c r="T499" i="1"/>
  <c r="U499" i="1"/>
  <c r="R500" i="1"/>
  <c r="S500" i="1"/>
  <c r="T500" i="1"/>
  <c r="U500" i="1"/>
  <c r="R501" i="1"/>
  <c r="S501" i="1"/>
  <c r="T501" i="1"/>
  <c r="U501" i="1"/>
  <c r="R502" i="1"/>
  <c r="S502" i="1"/>
  <c r="T502" i="1"/>
  <c r="U502" i="1"/>
  <c r="R503" i="1"/>
  <c r="S503" i="1"/>
  <c r="T503" i="1"/>
  <c r="U503" i="1"/>
  <c r="R504" i="1"/>
  <c r="S504" i="1"/>
  <c r="T504" i="1"/>
  <c r="U504" i="1"/>
  <c r="R505" i="1"/>
  <c r="S505" i="1"/>
  <c r="T505" i="1"/>
  <c r="U505" i="1"/>
  <c r="R506" i="1"/>
  <c r="S506" i="1"/>
  <c r="T506" i="1"/>
  <c r="U506" i="1"/>
  <c r="R507" i="1"/>
  <c r="S507" i="1"/>
  <c r="T507" i="1"/>
  <c r="U507" i="1"/>
  <c r="R508" i="1"/>
  <c r="S508" i="1"/>
  <c r="T508" i="1"/>
  <c r="U508" i="1"/>
  <c r="R509" i="1"/>
  <c r="S509" i="1"/>
  <c r="T509" i="1"/>
  <c r="U509" i="1"/>
  <c r="R510" i="1"/>
  <c r="S510" i="1"/>
  <c r="T510" i="1"/>
  <c r="U510" i="1"/>
  <c r="R511" i="1"/>
  <c r="S511" i="1"/>
  <c r="T511" i="1"/>
  <c r="U511" i="1"/>
  <c r="R512" i="1"/>
  <c r="S512" i="1"/>
  <c r="T512" i="1"/>
  <c r="U512" i="1"/>
  <c r="R513" i="1"/>
  <c r="S513" i="1"/>
  <c r="T513" i="1"/>
  <c r="U513" i="1"/>
  <c r="R514" i="1"/>
  <c r="S514" i="1"/>
  <c r="T514" i="1"/>
  <c r="U514" i="1"/>
  <c r="R515" i="1"/>
  <c r="S515" i="1"/>
  <c r="T515" i="1"/>
  <c r="U515" i="1"/>
  <c r="R516" i="1"/>
  <c r="S516" i="1"/>
  <c r="T516" i="1"/>
  <c r="U516" i="1"/>
  <c r="R517" i="1"/>
  <c r="S517" i="1"/>
  <c r="T517" i="1"/>
  <c r="U517" i="1"/>
  <c r="R518" i="1"/>
  <c r="S518" i="1"/>
  <c r="T518" i="1"/>
  <c r="U518" i="1"/>
  <c r="R519" i="1"/>
  <c r="S519" i="1"/>
  <c r="T519" i="1"/>
  <c r="U519" i="1"/>
  <c r="R520" i="1"/>
  <c r="S520" i="1"/>
  <c r="T520" i="1"/>
  <c r="U520" i="1"/>
  <c r="R521" i="1"/>
  <c r="S521" i="1"/>
  <c r="T521" i="1"/>
  <c r="U521" i="1"/>
  <c r="R522" i="1"/>
  <c r="S522" i="1"/>
  <c r="T522" i="1"/>
  <c r="U522" i="1"/>
  <c r="R523" i="1"/>
  <c r="S523" i="1"/>
  <c r="T523" i="1"/>
  <c r="U523" i="1"/>
  <c r="R524" i="1"/>
  <c r="S524" i="1"/>
  <c r="T524" i="1"/>
  <c r="U524" i="1"/>
  <c r="R525" i="1"/>
  <c r="S525" i="1"/>
  <c r="T525" i="1"/>
  <c r="U525" i="1"/>
  <c r="R526" i="1"/>
  <c r="S526" i="1"/>
  <c r="T526" i="1"/>
  <c r="U526" i="1"/>
  <c r="R527" i="1"/>
  <c r="S527" i="1"/>
  <c r="T527" i="1"/>
  <c r="U527" i="1"/>
  <c r="R528" i="1"/>
  <c r="S528" i="1"/>
  <c r="T528" i="1"/>
  <c r="U528" i="1"/>
  <c r="R529" i="1"/>
  <c r="S529" i="1"/>
  <c r="T529" i="1"/>
  <c r="U529" i="1"/>
  <c r="R530" i="1"/>
  <c r="S530" i="1"/>
  <c r="T530" i="1"/>
  <c r="U530" i="1"/>
  <c r="R531" i="1"/>
  <c r="S531" i="1"/>
  <c r="T531" i="1"/>
  <c r="U531" i="1"/>
  <c r="R532" i="1"/>
  <c r="S532" i="1"/>
  <c r="T532" i="1"/>
  <c r="U532" i="1"/>
  <c r="R533" i="1"/>
  <c r="S533" i="1"/>
  <c r="T533" i="1"/>
  <c r="U533" i="1"/>
  <c r="R534" i="1"/>
  <c r="S534" i="1"/>
  <c r="T534" i="1"/>
  <c r="U534" i="1"/>
  <c r="R535" i="1"/>
  <c r="S535" i="1"/>
  <c r="T535" i="1"/>
  <c r="U535" i="1"/>
  <c r="R536" i="1"/>
  <c r="S536" i="1"/>
  <c r="T536" i="1"/>
  <c r="U536" i="1"/>
  <c r="R537" i="1"/>
  <c r="S537" i="1"/>
  <c r="T537" i="1"/>
  <c r="U537" i="1"/>
  <c r="R538" i="1"/>
  <c r="S538" i="1"/>
  <c r="T538" i="1"/>
  <c r="U538" i="1"/>
  <c r="R539" i="1"/>
  <c r="S539" i="1"/>
  <c r="T539" i="1"/>
  <c r="U539" i="1"/>
  <c r="R540" i="1"/>
  <c r="S540" i="1"/>
  <c r="T540" i="1"/>
  <c r="U540" i="1"/>
  <c r="R541" i="1"/>
  <c r="S541" i="1"/>
  <c r="T541" i="1"/>
  <c r="U541" i="1"/>
  <c r="R542" i="1"/>
  <c r="S542" i="1"/>
  <c r="T542" i="1"/>
  <c r="U542" i="1"/>
  <c r="R543" i="1"/>
  <c r="S543" i="1"/>
  <c r="T543" i="1"/>
  <c r="U543" i="1"/>
  <c r="R544" i="1"/>
  <c r="S544" i="1"/>
  <c r="T544" i="1"/>
  <c r="U544" i="1"/>
  <c r="R545" i="1"/>
  <c r="S545" i="1"/>
  <c r="T545" i="1"/>
  <c r="U545" i="1"/>
  <c r="R546" i="1"/>
  <c r="S546" i="1"/>
  <c r="T546" i="1"/>
  <c r="U546" i="1"/>
  <c r="R547" i="1"/>
  <c r="S547" i="1"/>
  <c r="T547" i="1"/>
  <c r="U547" i="1"/>
  <c r="R548" i="1"/>
  <c r="S548" i="1"/>
  <c r="T548" i="1"/>
  <c r="U548" i="1"/>
  <c r="R549" i="1"/>
  <c r="S549" i="1"/>
  <c r="T549" i="1"/>
  <c r="U549" i="1"/>
  <c r="R550" i="1"/>
  <c r="S550" i="1"/>
  <c r="T550" i="1"/>
  <c r="U550" i="1"/>
  <c r="R551" i="1"/>
  <c r="S551" i="1"/>
  <c r="T551" i="1"/>
  <c r="U551" i="1"/>
  <c r="R552" i="1"/>
  <c r="S552" i="1"/>
  <c r="T552" i="1"/>
  <c r="U552" i="1"/>
  <c r="R553" i="1"/>
  <c r="S553" i="1"/>
  <c r="T553" i="1"/>
  <c r="U553" i="1"/>
  <c r="R554" i="1"/>
  <c r="S554" i="1"/>
  <c r="T554" i="1"/>
  <c r="U554" i="1"/>
  <c r="R555" i="1"/>
  <c r="S555" i="1"/>
  <c r="T555" i="1"/>
  <c r="U555" i="1"/>
  <c r="R556" i="1"/>
  <c r="S556" i="1"/>
  <c r="T556" i="1"/>
  <c r="U556" i="1"/>
  <c r="R557" i="1"/>
  <c r="S557" i="1"/>
  <c r="T557" i="1"/>
  <c r="U557" i="1"/>
  <c r="R558" i="1"/>
  <c r="S558" i="1"/>
  <c r="T558" i="1"/>
  <c r="U558" i="1"/>
  <c r="R559" i="1"/>
  <c r="S559" i="1"/>
  <c r="T559" i="1"/>
  <c r="U559" i="1"/>
  <c r="R560" i="1"/>
  <c r="S560" i="1"/>
  <c r="T560" i="1"/>
  <c r="U560" i="1"/>
  <c r="R561" i="1"/>
  <c r="S561" i="1"/>
  <c r="T561" i="1"/>
  <c r="U561" i="1"/>
  <c r="R562" i="1"/>
  <c r="S562" i="1"/>
  <c r="T562" i="1"/>
  <c r="U562" i="1"/>
  <c r="R563" i="1"/>
  <c r="S563" i="1"/>
  <c r="T563" i="1"/>
  <c r="U563" i="1"/>
  <c r="R564" i="1"/>
  <c r="S564" i="1"/>
  <c r="T564" i="1"/>
  <c r="U564" i="1"/>
  <c r="R565" i="1"/>
  <c r="S565" i="1"/>
  <c r="T565" i="1"/>
  <c r="U565" i="1"/>
  <c r="R566" i="1"/>
  <c r="S566" i="1"/>
  <c r="T566" i="1"/>
  <c r="U566" i="1"/>
  <c r="R567" i="1"/>
  <c r="S567" i="1"/>
  <c r="T567" i="1"/>
  <c r="U567" i="1"/>
  <c r="R568" i="1"/>
  <c r="S568" i="1"/>
  <c r="T568" i="1"/>
  <c r="U568" i="1"/>
  <c r="R569" i="1"/>
  <c r="S569" i="1"/>
  <c r="T569" i="1"/>
  <c r="U569" i="1"/>
  <c r="R570" i="1"/>
  <c r="S570" i="1"/>
  <c r="T570" i="1"/>
  <c r="U570" i="1"/>
  <c r="R571" i="1"/>
  <c r="S571" i="1"/>
  <c r="T571" i="1"/>
  <c r="U571" i="1"/>
  <c r="R572" i="1"/>
  <c r="S572" i="1"/>
  <c r="T572" i="1"/>
  <c r="U572" i="1"/>
  <c r="R573" i="1"/>
  <c r="S573" i="1"/>
  <c r="T573" i="1"/>
  <c r="U573" i="1"/>
  <c r="R574" i="1"/>
  <c r="S574" i="1"/>
  <c r="T574" i="1"/>
  <c r="U574" i="1"/>
  <c r="R575" i="1"/>
  <c r="S575" i="1"/>
  <c r="T575" i="1"/>
  <c r="U575" i="1"/>
  <c r="R576" i="1"/>
  <c r="S576" i="1"/>
  <c r="T576" i="1"/>
  <c r="U576" i="1"/>
  <c r="R577" i="1"/>
  <c r="S577" i="1"/>
  <c r="T577" i="1"/>
  <c r="U577" i="1"/>
  <c r="R578" i="1"/>
  <c r="S578" i="1"/>
  <c r="T578" i="1"/>
  <c r="U578" i="1"/>
  <c r="R579" i="1"/>
  <c r="S579" i="1"/>
  <c r="T579" i="1"/>
  <c r="U579" i="1"/>
  <c r="R580" i="1"/>
  <c r="S580" i="1"/>
  <c r="T580" i="1"/>
  <c r="U580" i="1"/>
  <c r="R581" i="1"/>
  <c r="S581" i="1"/>
  <c r="T581" i="1"/>
  <c r="U581" i="1"/>
  <c r="R582" i="1"/>
  <c r="S582" i="1"/>
  <c r="T582" i="1"/>
  <c r="U582" i="1"/>
  <c r="R583" i="1"/>
  <c r="S583" i="1"/>
  <c r="T583" i="1"/>
  <c r="U583" i="1"/>
  <c r="R584" i="1"/>
  <c r="S584" i="1"/>
  <c r="T584" i="1"/>
  <c r="U584" i="1"/>
  <c r="R585" i="1"/>
  <c r="S585" i="1"/>
  <c r="T585" i="1"/>
  <c r="U585" i="1"/>
  <c r="R586" i="1"/>
  <c r="S586" i="1"/>
  <c r="T586" i="1"/>
  <c r="U586" i="1"/>
  <c r="R587" i="1"/>
  <c r="S587" i="1"/>
  <c r="T587" i="1"/>
  <c r="U587" i="1"/>
  <c r="R588" i="1"/>
  <c r="S588" i="1"/>
  <c r="T588" i="1"/>
  <c r="U588" i="1"/>
  <c r="R589" i="1"/>
  <c r="S589" i="1"/>
  <c r="T589" i="1"/>
  <c r="U589" i="1"/>
  <c r="R590" i="1"/>
  <c r="S590" i="1"/>
  <c r="T590" i="1"/>
  <c r="U590" i="1"/>
  <c r="R591" i="1"/>
  <c r="S591" i="1"/>
  <c r="T591" i="1"/>
  <c r="U591" i="1"/>
  <c r="R592" i="1"/>
  <c r="S592" i="1"/>
  <c r="T592" i="1"/>
  <c r="U592" i="1"/>
  <c r="R593" i="1"/>
  <c r="S593" i="1"/>
  <c r="T593" i="1"/>
  <c r="U593" i="1"/>
  <c r="R594" i="1"/>
  <c r="S594" i="1"/>
  <c r="T594" i="1"/>
  <c r="U594" i="1"/>
  <c r="R595" i="1"/>
  <c r="S595" i="1"/>
  <c r="T595" i="1"/>
  <c r="U595" i="1"/>
  <c r="R596" i="1"/>
  <c r="S596" i="1"/>
  <c r="T596" i="1"/>
  <c r="U596" i="1"/>
  <c r="R597" i="1"/>
  <c r="S597" i="1"/>
  <c r="T597" i="1"/>
  <c r="U597" i="1"/>
  <c r="R598" i="1"/>
  <c r="S598" i="1"/>
  <c r="T598" i="1"/>
  <c r="U598" i="1"/>
  <c r="R599" i="1"/>
  <c r="S599" i="1"/>
  <c r="T599" i="1"/>
  <c r="U599" i="1"/>
  <c r="R600" i="1"/>
  <c r="S600" i="1"/>
  <c r="T600" i="1"/>
  <c r="U600" i="1"/>
  <c r="R601" i="1"/>
  <c r="S601" i="1"/>
  <c r="T601" i="1"/>
  <c r="U601" i="1"/>
  <c r="R602" i="1"/>
  <c r="S602" i="1"/>
  <c r="T602" i="1"/>
  <c r="U602" i="1"/>
  <c r="R603" i="1"/>
  <c r="S603" i="1"/>
  <c r="T603" i="1"/>
  <c r="U603" i="1"/>
  <c r="R604" i="1"/>
  <c r="S604" i="1"/>
  <c r="T604" i="1"/>
  <c r="U604" i="1"/>
  <c r="R605" i="1"/>
  <c r="S605" i="1"/>
  <c r="T605" i="1"/>
  <c r="U605" i="1"/>
  <c r="R606" i="1"/>
  <c r="S606" i="1"/>
  <c r="T606" i="1"/>
  <c r="U606" i="1"/>
  <c r="R607" i="1"/>
  <c r="S607" i="1"/>
  <c r="T607" i="1"/>
  <c r="U607" i="1"/>
  <c r="R608" i="1"/>
  <c r="S608" i="1"/>
  <c r="T608" i="1"/>
  <c r="U608" i="1"/>
  <c r="R609" i="1"/>
  <c r="S609" i="1"/>
  <c r="T609" i="1"/>
  <c r="U609" i="1"/>
  <c r="R610" i="1"/>
  <c r="S610" i="1"/>
  <c r="T610" i="1"/>
  <c r="U610" i="1"/>
  <c r="R611" i="1"/>
  <c r="S611" i="1"/>
  <c r="T611" i="1"/>
  <c r="U611" i="1"/>
  <c r="R612" i="1"/>
  <c r="S612" i="1"/>
  <c r="T612" i="1"/>
  <c r="U612" i="1"/>
  <c r="R613" i="1"/>
  <c r="S613" i="1"/>
  <c r="T613" i="1"/>
  <c r="U613" i="1"/>
  <c r="R614" i="1"/>
  <c r="S614" i="1"/>
  <c r="T614" i="1"/>
  <c r="U614" i="1"/>
  <c r="R615" i="1"/>
  <c r="S615" i="1"/>
  <c r="T615" i="1"/>
  <c r="U615" i="1"/>
  <c r="R616" i="1"/>
  <c r="S616" i="1"/>
  <c r="T616" i="1"/>
  <c r="U616" i="1"/>
  <c r="R617" i="1"/>
  <c r="S617" i="1"/>
  <c r="T617" i="1"/>
  <c r="U617" i="1"/>
  <c r="R618" i="1"/>
  <c r="S618" i="1"/>
  <c r="T618" i="1"/>
  <c r="U618" i="1"/>
  <c r="R619" i="1"/>
  <c r="S619" i="1"/>
  <c r="T619" i="1"/>
  <c r="U619" i="1"/>
  <c r="R620" i="1"/>
  <c r="S620" i="1"/>
  <c r="T620" i="1"/>
  <c r="U620" i="1"/>
  <c r="R621" i="1"/>
  <c r="S621" i="1"/>
  <c r="T621" i="1"/>
  <c r="U621" i="1"/>
  <c r="R622" i="1"/>
  <c r="S622" i="1"/>
  <c r="T622" i="1"/>
  <c r="U622" i="1"/>
  <c r="R623" i="1"/>
  <c r="S623" i="1"/>
  <c r="T623" i="1"/>
  <c r="U623" i="1"/>
  <c r="R624" i="1"/>
  <c r="S624" i="1"/>
  <c r="T624" i="1"/>
  <c r="U624" i="1"/>
  <c r="R625" i="1"/>
  <c r="S625" i="1"/>
  <c r="T625" i="1"/>
  <c r="U625" i="1"/>
  <c r="R626" i="1"/>
  <c r="S626" i="1"/>
  <c r="T626" i="1"/>
  <c r="U626" i="1"/>
  <c r="R627" i="1"/>
  <c r="S627" i="1"/>
  <c r="T627" i="1"/>
  <c r="U627" i="1"/>
  <c r="R628" i="1"/>
  <c r="S628" i="1"/>
  <c r="T628" i="1"/>
  <c r="U628" i="1"/>
  <c r="R629" i="1"/>
  <c r="S629" i="1"/>
  <c r="T629" i="1"/>
  <c r="U629" i="1"/>
  <c r="R630" i="1"/>
  <c r="S630" i="1"/>
  <c r="T630" i="1"/>
  <c r="U630" i="1"/>
  <c r="R631" i="1"/>
  <c r="S631" i="1"/>
  <c r="T631" i="1"/>
  <c r="U631" i="1"/>
  <c r="R632" i="1"/>
  <c r="S632" i="1"/>
  <c r="T632" i="1"/>
  <c r="U632" i="1"/>
  <c r="R633" i="1"/>
  <c r="S633" i="1"/>
  <c r="T633" i="1"/>
  <c r="U633" i="1"/>
  <c r="R634" i="1"/>
  <c r="S634" i="1"/>
  <c r="T634" i="1"/>
  <c r="U634" i="1"/>
  <c r="R635" i="1"/>
  <c r="S635" i="1"/>
  <c r="T635" i="1"/>
  <c r="U635" i="1"/>
  <c r="R636" i="1"/>
  <c r="S636" i="1"/>
  <c r="T636" i="1"/>
  <c r="U636" i="1"/>
  <c r="R637" i="1"/>
  <c r="S637" i="1"/>
  <c r="T637" i="1"/>
  <c r="U637" i="1"/>
  <c r="R638" i="1"/>
  <c r="S638" i="1"/>
  <c r="T638" i="1"/>
  <c r="U638" i="1"/>
  <c r="R639" i="1"/>
  <c r="S639" i="1"/>
  <c r="T639" i="1"/>
  <c r="U639" i="1"/>
  <c r="R640" i="1"/>
  <c r="S640" i="1"/>
  <c r="T640" i="1"/>
  <c r="U640" i="1"/>
  <c r="R641" i="1"/>
  <c r="S641" i="1"/>
  <c r="T641" i="1"/>
  <c r="U641" i="1"/>
  <c r="R642" i="1"/>
  <c r="S642" i="1"/>
  <c r="T642" i="1"/>
  <c r="U642" i="1"/>
  <c r="R643" i="1"/>
  <c r="S643" i="1"/>
  <c r="T643" i="1"/>
  <c r="U643" i="1"/>
  <c r="R644" i="1"/>
  <c r="S644" i="1"/>
  <c r="T644" i="1"/>
  <c r="U644" i="1"/>
  <c r="R645" i="1"/>
  <c r="S645" i="1"/>
  <c r="T645" i="1"/>
  <c r="U645" i="1"/>
  <c r="R646" i="1"/>
  <c r="S646" i="1"/>
  <c r="T646" i="1"/>
  <c r="U646" i="1"/>
  <c r="R647" i="1"/>
  <c r="S647" i="1"/>
  <c r="T647" i="1"/>
  <c r="U647" i="1"/>
  <c r="R648" i="1"/>
  <c r="S648" i="1"/>
  <c r="T648" i="1"/>
  <c r="U648" i="1"/>
  <c r="R649" i="1"/>
  <c r="S649" i="1"/>
  <c r="T649" i="1"/>
  <c r="U649" i="1"/>
  <c r="R650" i="1"/>
  <c r="S650" i="1"/>
  <c r="T650" i="1"/>
  <c r="U650" i="1"/>
  <c r="R651" i="1"/>
  <c r="S651" i="1"/>
  <c r="T651" i="1"/>
  <c r="U651" i="1"/>
  <c r="R652" i="1"/>
  <c r="S652" i="1"/>
  <c r="T652" i="1"/>
  <c r="U652" i="1"/>
  <c r="R653" i="1"/>
  <c r="S653" i="1"/>
  <c r="T653" i="1"/>
  <c r="U653" i="1"/>
  <c r="R654" i="1"/>
  <c r="S654" i="1"/>
  <c r="T654" i="1"/>
  <c r="U654" i="1"/>
  <c r="R655" i="1"/>
  <c r="S655" i="1"/>
  <c r="T655" i="1"/>
  <c r="U655" i="1"/>
  <c r="R656" i="1"/>
  <c r="S656" i="1"/>
  <c r="T656" i="1"/>
  <c r="U656" i="1"/>
  <c r="R657" i="1"/>
  <c r="S657" i="1"/>
  <c r="T657" i="1"/>
  <c r="U657" i="1"/>
  <c r="R658" i="1"/>
  <c r="S658" i="1"/>
  <c r="T658" i="1"/>
  <c r="U658" i="1"/>
  <c r="R659" i="1"/>
  <c r="S659" i="1"/>
  <c r="T659" i="1"/>
  <c r="U659" i="1"/>
  <c r="R660" i="1"/>
  <c r="S660" i="1"/>
  <c r="T660" i="1"/>
  <c r="U660" i="1"/>
  <c r="R661" i="1"/>
  <c r="S661" i="1"/>
  <c r="T661" i="1"/>
  <c r="U661" i="1"/>
  <c r="R662" i="1"/>
  <c r="S662" i="1"/>
  <c r="T662" i="1"/>
  <c r="U662" i="1"/>
  <c r="R663" i="1"/>
  <c r="S663" i="1"/>
  <c r="T663" i="1"/>
  <c r="U663" i="1"/>
  <c r="R664" i="1"/>
  <c r="S664" i="1"/>
  <c r="T664" i="1"/>
  <c r="U664" i="1"/>
  <c r="R665" i="1"/>
  <c r="S665" i="1"/>
  <c r="T665" i="1"/>
  <c r="U665" i="1"/>
  <c r="R666" i="1"/>
  <c r="S666" i="1"/>
  <c r="T666" i="1"/>
  <c r="U666" i="1"/>
  <c r="R667" i="1"/>
  <c r="S667" i="1"/>
  <c r="T667" i="1"/>
  <c r="U667" i="1"/>
  <c r="R668" i="1"/>
  <c r="S668" i="1"/>
  <c r="T668" i="1"/>
  <c r="U668" i="1"/>
  <c r="R669" i="1"/>
  <c r="S669" i="1"/>
  <c r="T669" i="1"/>
  <c r="U669" i="1"/>
  <c r="R670" i="1"/>
  <c r="S670" i="1"/>
  <c r="T670" i="1"/>
  <c r="U670" i="1"/>
  <c r="R671" i="1"/>
  <c r="S671" i="1"/>
  <c r="T671" i="1"/>
  <c r="U671" i="1"/>
  <c r="R672" i="1"/>
  <c r="S672" i="1"/>
  <c r="T672" i="1"/>
  <c r="U672" i="1"/>
  <c r="R673" i="1"/>
  <c r="S673" i="1"/>
  <c r="T673" i="1"/>
  <c r="U673" i="1"/>
  <c r="R674" i="1"/>
  <c r="S674" i="1"/>
  <c r="T674" i="1"/>
  <c r="U674" i="1"/>
  <c r="R675" i="1"/>
  <c r="S675" i="1"/>
  <c r="T675" i="1"/>
  <c r="U675" i="1"/>
  <c r="R676" i="1"/>
  <c r="S676" i="1"/>
  <c r="T676" i="1"/>
  <c r="U676" i="1"/>
  <c r="R677" i="1"/>
  <c r="S677" i="1"/>
  <c r="T677" i="1"/>
  <c r="U677" i="1"/>
  <c r="R678" i="1"/>
  <c r="S678" i="1"/>
  <c r="T678" i="1"/>
  <c r="U678" i="1"/>
  <c r="R679" i="1"/>
  <c r="S679" i="1"/>
  <c r="T679" i="1"/>
  <c r="U679" i="1"/>
  <c r="R680" i="1"/>
  <c r="S680" i="1"/>
  <c r="T680" i="1"/>
  <c r="U680" i="1"/>
  <c r="R681" i="1"/>
  <c r="S681" i="1"/>
  <c r="T681" i="1"/>
  <c r="U681" i="1"/>
  <c r="R682" i="1"/>
  <c r="S682" i="1"/>
  <c r="T682" i="1"/>
  <c r="U682" i="1"/>
  <c r="R683" i="1"/>
  <c r="S683" i="1"/>
  <c r="T683" i="1"/>
  <c r="U683" i="1"/>
  <c r="R684" i="1"/>
  <c r="S684" i="1"/>
  <c r="T684" i="1"/>
  <c r="U684" i="1"/>
  <c r="R685" i="1"/>
  <c r="S685" i="1"/>
  <c r="T685" i="1"/>
  <c r="U685" i="1"/>
  <c r="R686" i="1"/>
  <c r="S686" i="1"/>
  <c r="T686" i="1"/>
  <c r="U686" i="1"/>
  <c r="R687" i="1"/>
  <c r="S687" i="1"/>
  <c r="T687" i="1"/>
  <c r="U687" i="1"/>
  <c r="R688" i="1"/>
  <c r="S688" i="1"/>
  <c r="T688" i="1"/>
  <c r="U688" i="1"/>
  <c r="R689" i="1"/>
  <c r="S689" i="1"/>
  <c r="T689" i="1"/>
  <c r="U689" i="1"/>
  <c r="R690" i="1"/>
  <c r="S690" i="1"/>
  <c r="T690" i="1"/>
  <c r="U690" i="1"/>
  <c r="R691" i="1"/>
  <c r="S691" i="1"/>
  <c r="T691" i="1"/>
  <c r="U691" i="1"/>
  <c r="R692" i="1"/>
  <c r="S692" i="1"/>
  <c r="T692" i="1"/>
  <c r="U692" i="1"/>
  <c r="R693" i="1"/>
  <c r="S693" i="1"/>
  <c r="T693" i="1"/>
  <c r="U693" i="1"/>
  <c r="R694" i="1"/>
  <c r="S694" i="1"/>
  <c r="T694" i="1"/>
  <c r="U694" i="1"/>
  <c r="R695" i="1"/>
  <c r="S695" i="1"/>
  <c r="T695" i="1"/>
  <c r="U695" i="1"/>
  <c r="R696" i="1"/>
  <c r="S696" i="1"/>
  <c r="T696" i="1"/>
  <c r="U696" i="1"/>
  <c r="R697" i="1"/>
  <c r="S697" i="1"/>
  <c r="T697" i="1"/>
  <c r="U697" i="1"/>
  <c r="R698" i="1"/>
  <c r="S698" i="1"/>
  <c r="T698" i="1"/>
  <c r="U698" i="1"/>
  <c r="R699" i="1"/>
  <c r="S699" i="1"/>
  <c r="T699" i="1"/>
  <c r="U699" i="1"/>
  <c r="R700" i="1"/>
  <c r="S700" i="1"/>
  <c r="T700" i="1"/>
  <c r="U700" i="1"/>
  <c r="R701" i="1"/>
  <c r="S701" i="1"/>
  <c r="T701" i="1"/>
  <c r="U701" i="1"/>
  <c r="R702" i="1"/>
  <c r="S702" i="1"/>
  <c r="T702" i="1"/>
  <c r="U702" i="1"/>
  <c r="R703" i="1"/>
  <c r="S703" i="1"/>
  <c r="T703" i="1"/>
  <c r="U703" i="1"/>
  <c r="R704" i="1"/>
  <c r="S704" i="1"/>
  <c r="T704" i="1"/>
  <c r="U704" i="1"/>
  <c r="R705" i="1"/>
  <c r="S705" i="1"/>
  <c r="T705" i="1"/>
  <c r="U705" i="1"/>
  <c r="R706" i="1"/>
  <c r="S706" i="1"/>
  <c r="T706" i="1"/>
  <c r="U706" i="1"/>
  <c r="R707" i="1"/>
  <c r="S707" i="1"/>
  <c r="T707" i="1"/>
  <c r="U707" i="1"/>
  <c r="R708" i="1"/>
  <c r="S708" i="1"/>
  <c r="T708" i="1"/>
  <c r="U708" i="1"/>
  <c r="R709" i="1"/>
  <c r="S709" i="1"/>
  <c r="T709" i="1"/>
  <c r="U709" i="1"/>
  <c r="R710" i="1"/>
  <c r="S710" i="1"/>
  <c r="T710" i="1"/>
  <c r="U710" i="1"/>
  <c r="R711" i="1"/>
  <c r="S711" i="1"/>
  <c r="T711" i="1"/>
  <c r="U711" i="1"/>
  <c r="R712" i="1"/>
  <c r="S712" i="1"/>
  <c r="T712" i="1"/>
  <c r="U712" i="1"/>
  <c r="R713" i="1"/>
  <c r="S713" i="1"/>
  <c r="T713" i="1"/>
  <c r="U713" i="1"/>
  <c r="R714" i="1"/>
  <c r="S714" i="1"/>
  <c r="T714" i="1"/>
  <c r="U714" i="1"/>
  <c r="R715" i="1"/>
  <c r="S715" i="1"/>
  <c r="T715" i="1"/>
  <c r="U715" i="1"/>
  <c r="R716" i="1"/>
  <c r="S716" i="1"/>
  <c r="T716" i="1"/>
  <c r="U716" i="1"/>
  <c r="R717" i="1"/>
  <c r="S717" i="1"/>
  <c r="T717" i="1"/>
  <c r="U717" i="1"/>
  <c r="R718" i="1"/>
  <c r="S718" i="1"/>
  <c r="T718" i="1"/>
  <c r="U718" i="1"/>
  <c r="R719" i="1"/>
  <c r="S719" i="1"/>
  <c r="T719" i="1"/>
  <c r="U719" i="1"/>
  <c r="R720" i="1"/>
  <c r="S720" i="1"/>
  <c r="T720" i="1"/>
  <c r="U720" i="1"/>
  <c r="R721" i="1"/>
  <c r="S721" i="1"/>
  <c r="T721" i="1"/>
  <c r="U721" i="1"/>
  <c r="R722" i="1"/>
  <c r="S722" i="1"/>
  <c r="T722" i="1"/>
  <c r="U722" i="1"/>
  <c r="R723" i="1"/>
  <c r="S723" i="1"/>
  <c r="T723" i="1"/>
  <c r="U723" i="1"/>
  <c r="R724" i="1"/>
  <c r="S724" i="1"/>
  <c r="T724" i="1"/>
  <c r="U724" i="1"/>
  <c r="R725" i="1"/>
  <c r="S725" i="1"/>
  <c r="T725" i="1"/>
  <c r="U725" i="1"/>
  <c r="R726" i="1"/>
  <c r="S726" i="1"/>
  <c r="T726" i="1"/>
  <c r="U726" i="1"/>
  <c r="R727" i="1"/>
  <c r="S727" i="1"/>
  <c r="T727" i="1"/>
  <c r="U727" i="1"/>
  <c r="R728" i="1"/>
  <c r="S728" i="1"/>
  <c r="T728" i="1"/>
  <c r="U728" i="1"/>
  <c r="R729" i="1"/>
  <c r="S729" i="1"/>
  <c r="T729" i="1"/>
  <c r="U729" i="1"/>
  <c r="R730" i="1"/>
  <c r="S730" i="1"/>
  <c r="T730" i="1"/>
  <c r="U730" i="1"/>
  <c r="R731" i="1"/>
  <c r="S731" i="1"/>
  <c r="T731" i="1"/>
  <c r="U731" i="1"/>
  <c r="R732" i="1"/>
  <c r="S732" i="1"/>
  <c r="T732" i="1"/>
  <c r="U732" i="1"/>
  <c r="R733" i="1"/>
  <c r="S733" i="1"/>
  <c r="T733" i="1"/>
  <c r="U733" i="1"/>
  <c r="R734" i="1"/>
  <c r="S734" i="1"/>
  <c r="T734" i="1"/>
  <c r="U734" i="1"/>
  <c r="R735" i="1"/>
  <c r="S735" i="1"/>
  <c r="T735" i="1"/>
  <c r="U735" i="1"/>
  <c r="R736" i="1"/>
  <c r="S736" i="1"/>
  <c r="T736" i="1"/>
  <c r="U736" i="1"/>
  <c r="R737" i="1"/>
  <c r="S737" i="1"/>
  <c r="T737" i="1"/>
  <c r="U737" i="1"/>
  <c r="R738" i="1"/>
  <c r="S738" i="1"/>
  <c r="T738" i="1"/>
  <c r="U738" i="1"/>
  <c r="R739" i="1"/>
  <c r="S739" i="1"/>
  <c r="T739" i="1"/>
  <c r="U739" i="1"/>
  <c r="R740" i="1"/>
  <c r="S740" i="1"/>
  <c r="T740" i="1"/>
  <c r="U740" i="1"/>
  <c r="R741" i="1"/>
  <c r="S741" i="1"/>
  <c r="T741" i="1"/>
  <c r="U741" i="1"/>
  <c r="R742" i="1"/>
  <c r="S742" i="1"/>
  <c r="T742" i="1"/>
  <c r="U742" i="1"/>
  <c r="R743" i="1"/>
  <c r="S743" i="1"/>
  <c r="T743" i="1"/>
  <c r="U743" i="1"/>
  <c r="R744" i="1"/>
  <c r="S744" i="1"/>
  <c r="T744" i="1"/>
  <c r="U744" i="1"/>
  <c r="R745" i="1"/>
  <c r="S745" i="1"/>
  <c r="T745" i="1"/>
  <c r="U745" i="1"/>
  <c r="R746" i="1"/>
  <c r="S746" i="1"/>
  <c r="T746" i="1"/>
  <c r="U746" i="1"/>
  <c r="R747" i="1"/>
  <c r="S747" i="1"/>
  <c r="T747" i="1"/>
  <c r="U747" i="1"/>
  <c r="R748" i="1"/>
  <c r="S748" i="1"/>
  <c r="T748" i="1"/>
  <c r="U748" i="1"/>
  <c r="R749" i="1"/>
  <c r="S749" i="1"/>
  <c r="T749" i="1"/>
  <c r="U749" i="1"/>
  <c r="R750" i="1"/>
  <c r="S750" i="1"/>
  <c r="T750" i="1"/>
  <c r="U750" i="1"/>
  <c r="R751" i="1"/>
  <c r="S751" i="1"/>
  <c r="T751" i="1"/>
  <c r="U751" i="1"/>
  <c r="R752" i="1"/>
  <c r="S752" i="1"/>
  <c r="T752" i="1"/>
  <c r="U752" i="1"/>
  <c r="R753" i="1"/>
  <c r="S753" i="1"/>
  <c r="T753" i="1"/>
  <c r="U753" i="1"/>
  <c r="R754" i="1"/>
  <c r="S754" i="1"/>
  <c r="T754" i="1"/>
  <c r="U754" i="1"/>
  <c r="R755" i="1"/>
  <c r="S755" i="1"/>
  <c r="T755" i="1"/>
  <c r="U755" i="1"/>
  <c r="R756" i="1"/>
  <c r="S756" i="1"/>
  <c r="T756" i="1"/>
  <c r="U756" i="1"/>
  <c r="R757" i="1"/>
  <c r="S757" i="1"/>
  <c r="T757" i="1"/>
  <c r="U757" i="1"/>
  <c r="R758" i="1"/>
  <c r="S758" i="1"/>
  <c r="T758" i="1"/>
  <c r="U758" i="1"/>
  <c r="R759" i="1"/>
  <c r="S759" i="1"/>
  <c r="T759" i="1"/>
  <c r="U759" i="1"/>
  <c r="R760" i="1"/>
  <c r="S760" i="1"/>
  <c r="T760" i="1"/>
  <c r="U760" i="1"/>
  <c r="R761" i="1"/>
  <c r="S761" i="1"/>
  <c r="T761" i="1"/>
  <c r="U761" i="1"/>
  <c r="R762" i="1"/>
  <c r="S762" i="1"/>
  <c r="T762" i="1"/>
  <c r="U762" i="1"/>
  <c r="R763" i="1"/>
  <c r="S763" i="1"/>
  <c r="T763" i="1"/>
  <c r="U763" i="1"/>
  <c r="R764" i="1"/>
  <c r="S764" i="1"/>
  <c r="T764" i="1"/>
  <c r="U764" i="1"/>
  <c r="R765" i="1"/>
  <c r="S765" i="1"/>
  <c r="T765" i="1"/>
  <c r="U765" i="1"/>
  <c r="R766" i="1"/>
  <c r="S766" i="1"/>
  <c r="T766" i="1"/>
  <c r="U766" i="1"/>
  <c r="R767" i="1"/>
  <c r="S767" i="1"/>
  <c r="T767" i="1"/>
  <c r="U767" i="1"/>
  <c r="R768" i="1"/>
  <c r="S768" i="1"/>
  <c r="T768" i="1"/>
  <c r="U768" i="1"/>
  <c r="R769" i="1"/>
  <c r="S769" i="1"/>
  <c r="T769" i="1"/>
  <c r="U769" i="1"/>
  <c r="R770" i="1"/>
  <c r="S770" i="1"/>
  <c r="T770" i="1"/>
  <c r="U770" i="1"/>
  <c r="R771" i="1"/>
  <c r="S771" i="1"/>
  <c r="T771" i="1"/>
  <c r="U771" i="1"/>
  <c r="R772" i="1"/>
  <c r="S772" i="1"/>
  <c r="T772" i="1"/>
  <c r="U772" i="1"/>
  <c r="R773" i="1"/>
  <c r="S773" i="1"/>
  <c r="T773" i="1"/>
  <c r="U773" i="1"/>
  <c r="R774" i="1"/>
  <c r="S774" i="1"/>
  <c r="T774" i="1"/>
  <c r="U774" i="1"/>
  <c r="R775" i="1"/>
  <c r="S775" i="1"/>
  <c r="T775" i="1"/>
  <c r="U775" i="1"/>
  <c r="R776" i="1"/>
  <c r="S776" i="1"/>
  <c r="T776" i="1"/>
  <c r="U776" i="1"/>
  <c r="R777" i="1"/>
  <c r="S777" i="1"/>
  <c r="T777" i="1"/>
  <c r="U777" i="1"/>
  <c r="R778" i="1"/>
  <c r="S778" i="1"/>
  <c r="T778" i="1"/>
  <c r="U778" i="1"/>
  <c r="R779" i="1"/>
  <c r="S779" i="1"/>
  <c r="T779" i="1"/>
  <c r="U779" i="1"/>
  <c r="R780" i="1"/>
  <c r="S780" i="1"/>
  <c r="T780" i="1"/>
  <c r="U780" i="1"/>
  <c r="R781" i="1"/>
  <c r="S781" i="1"/>
  <c r="T781" i="1"/>
  <c r="U781" i="1"/>
  <c r="R782" i="1"/>
  <c r="S782" i="1"/>
  <c r="T782" i="1"/>
  <c r="U782" i="1"/>
  <c r="R783" i="1"/>
  <c r="S783" i="1"/>
  <c r="T783" i="1"/>
  <c r="U783" i="1"/>
  <c r="R784" i="1"/>
  <c r="S784" i="1"/>
  <c r="T784" i="1"/>
  <c r="U784" i="1"/>
  <c r="R785" i="1"/>
  <c r="S785" i="1"/>
  <c r="T785" i="1"/>
  <c r="U785" i="1"/>
  <c r="R786" i="1"/>
  <c r="S786" i="1"/>
  <c r="T786" i="1"/>
  <c r="U786" i="1"/>
  <c r="R787" i="1"/>
  <c r="S787" i="1"/>
  <c r="T787" i="1"/>
  <c r="U787" i="1"/>
  <c r="R788" i="1"/>
  <c r="S788" i="1"/>
  <c r="T788" i="1"/>
  <c r="U788" i="1"/>
  <c r="R789" i="1"/>
  <c r="S789" i="1"/>
  <c r="T789" i="1"/>
  <c r="U789" i="1"/>
  <c r="R790" i="1"/>
  <c r="S790" i="1"/>
  <c r="T790" i="1"/>
  <c r="U790" i="1"/>
  <c r="R791" i="1"/>
  <c r="S791" i="1"/>
  <c r="T791" i="1"/>
  <c r="U791" i="1"/>
  <c r="R792" i="1"/>
  <c r="S792" i="1"/>
  <c r="T792" i="1"/>
  <c r="U792" i="1"/>
  <c r="R793" i="1"/>
  <c r="S793" i="1"/>
  <c r="T793" i="1"/>
  <c r="U793" i="1"/>
  <c r="R794" i="1"/>
  <c r="S794" i="1"/>
  <c r="T794" i="1"/>
  <c r="U794" i="1"/>
  <c r="R795" i="1"/>
  <c r="S795" i="1"/>
  <c r="T795" i="1"/>
  <c r="U795" i="1"/>
  <c r="R796" i="1"/>
  <c r="S796" i="1"/>
  <c r="T796" i="1"/>
  <c r="U796" i="1"/>
  <c r="R797" i="1"/>
  <c r="S797" i="1"/>
  <c r="T797" i="1"/>
  <c r="U797" i="1"/>
  <c r="R798" i="1"/>
  <c r="S798" i="1"/>
  <c r="T798" i="1"/>
  <c r="U798" i="1"/>
  <c r="R799" i="1"/>
  <c r="S799" i="1"/>
  <c r="T799" i="1"/>
  <c r="U799" i="1"/>
  <c r="R800" i="1"/>
  <c r="S800" i="1"/>
  <c r="T800" i="1"/>
  <c r="U800" i="1"/>
  <c r="R801" i="1"/>
  <c r="S801" i="1"/>
  <c r="T801" i="1"/>
  <c r="U801" i="1"/>
  <c r="R802" i="1"/>
  <c r="S802" i="1"/>
  <c r="T802" i="1"/>
  <c r="U802" i="1"/>
  <c r="R803" i="1"/>
  <c r="S803" i="1"/>
  <c r="T803" i="1"/>
  <c r="U803" i="1"/>
  <c r="R804" i="1"/>
  <c r="S804" i="1"/>
  <c r="T804" i="1"/>
  <c r="U804" i="1"/>
  <c r="R805" i="1"/>
  <c r="S805" i="1"/>
  <c r="T805" i="1"/>
  <c r="U805" i="1"/>
  <c r="R806" i="1"/>
  <c r="S806" i="1"/>
  <c r="T806" i="1"/>
  <c r="U806" i="1"/>
  <c r="R807" i="1"/>
  <c r="S807" i="1"/>
  <c r="T807" i="1"/>
  <c r="U807" i="1"/>
  <c r="R808" i="1"/>
  <c r="S808" i="1"/>
  <c r="T808" i="1"/>
  <c r="U808" i="1"/>
  <c r="R809" i="1"/>
  <c r="S809" i="1"/>
  <c r="T809" i="1"/>
  <c r="U809" i="1"/>
  <c r="R810" i="1"/>
  <c r="S810" i="1"/>
  <c r="T810" i="1"/>
  <c r="U810" i="1"/>
  <c r="R811" i="1"/>
  <c r="S811" i="1"/>
  <c r="T811" i="1"/>
  <c r="U811" i="1"/>
  <c r="R812" i="1"/>
  <c r="S812" i="1"/>
  <c r="T812" i="1"/>
  <c r="U812" i="1"/>
  <c r="R813" i="1"/>
  <c r="S813" i="1"/>
  <c r="T813" i="1"/>
  <c r="U813" i="1"/>
  <c r="R814" i="1"/>
  <c r="S814" i="1"/>
  <c r="T814" i="1"/>
  <c r="U814" i="1"/>
  <c r="R815" i="1"/>
  <c r="S815" i="1"/>
  <c r="T815" i="1"/>
  <c r="U815" i="1"/>
  <c r="R816" i="1"/>
  <c r="S816" i="1"/>
  <c r="T816" i="1"/>
  <c r="U816" i="1"/>
  <c r="R817" i="1"/>
  <c r="S817" i="1"/>
  <c r="T817" i="1"/>
  <c r="U817" i="1"/>
  <c r="R818" i="1"/>
  <c r="S818" i="1"/>
  <c r="T818" i="1"/>
  <c r="U818" i="1"/>
  <c r="R819" i="1"/>
  <c r="S819" i="1"/>
  <c r="T819" i="1"/>
  <c r="U819" i="1"/>
  <c r="R820" i="1"/>
  <c r="S820" i="1"/>
  <c r="T820" i="1"/>
  <c r="U820" i="1"/>
  <c r="R821" i="1"/>
  <c r="S821" i="1"/>
  <c r="T821" i="1"/>
  <c r="U821" i="1"/>
  <c r="R822" i="1"/>
  <c r="S822" i="1"/>
  <c r="T822" i="1"/>
  <c r="U822" i="1"/>
  <c r="R823" i="1"/>
  <c r="S823" i="1"/>
  <c r="T823" i="1"/>
  <c r="U823" i="1"/>
  <c r="R824" i="1"/>
  <c r="S824" i="1"/>
  <c r="T824" i="1"/>
  <c r="U824" i="1"/>
  <c r="R825" i="1"/>
  <c r="S825" i="1"/>
  <c r="T825" i="1"/>
  <c r="U825" i="1"/>
  <c r="R826" i="1"/>
  <c r="S826" i="1"/>
  <c r="T826" i="1"/>
  <c r="U826" i="1"/>
  <c r="R827" i="1"/>
  <c r="S827" i="1"/>
  <c r="T827" i="1"/>
  <c r="U827" i="1"/>
  <c r="R828" i="1"/>
  <c r="S828" i="1"/>
  <c r="T828" i="1"/>
  <c r="U828" i="1"/>
  <c r="R829" i="1"/>
  <c r="S829" i="1"/>
  <c r="T829" i="1"/>
  <c r="U829" i="1"/>
  <c r="R830" i="1"/>
  <c r="S830" i="1"/>
  <c r="T830" i="1"/>
  <c r="U830" i="1"/>
  <c r="R831" i="1"/>
  <c r="S831" i="1"/>
  <c r="T831" i="1"/>
  <c r="U831" i="1"/>
  <c r="R832" i="1"/>
  <c r="S832" i="1"/>
  <c r="T832" i="1"/>
  <c r="U832" i="1"/>
  <c r="R833" i="1"/>
  <c r="S833" i="1"/>
  <c r="T833" i="1"/>
  <c r="U833" i="1"/>
  <c r="R834" i="1"/>
  <c r="S834" i="1"/>
  <c r="T834" i="1"/>
  <c r="U834" i="1"/>
  <c r="R835" i="1"/>
  <c r="S835" i="1"/>
  <c r="T835" i="1"/>
  <c r="U835" i="1"/>
  <c r="R836" i="1"/>
  <c r="S836" i="1"/>
  <c r="T836" i="1"/>
  <c r="U836" i="1"/>
  <c r="R837" i="1"/>
  <c r="S837" i="1"/>
  <c r="T837" i="1"/>
  <c r="U837" i="1"/>
  <c r="R838" i="1"/>
  <c r="S838" i="1"/>
  <c r="T838" i="1"/>
  <c r="U838" i="1"/>
  <c r="R839" i="1"/>
  <c r="S839" i="1"/>
  <c r="T839" i="1"/>
  <c r="U839" i="1"/>
  <c r="R840" i="1"/>
  <c r="S840" i="1"/>
  <c r="T840" i="1"/>
  <c r="U840" i="1"/>
  <c r="R841" i="1"/>
  <c r="S841" i="1"/>
  <c r="T841" i="1"/>
  <c r="U841" i="1"/>
  <c r="R842" i="1"/>
  <c r="S842" i="1"/>
  <c r="T842" i="1"/>
  <c r="U842" i="1"/>
  <c r="R843" i="1"/>
  <c r="S843" i="1"/>
  <c r="T843" i="1"/>
  <c r="U843" i="1"/>
  <c r="R844" i="1"/>
  <c r="S844" i="1"/>
  <c r="T844" i="1"/>
  <c r="U844" i="1"/>
  <c r="R845" i="1"/>
  <c r="S845" i="1"/>
  <c r="T845" i="1"/>
  <c r="U845" i="1"/>
  <c r="R846" i="1"/>
  <c r="S846" i="1"/>
  <c r="T846" i="1"/>
  <c r="U846" i="1"/>
  <c r="R847" i="1"/>
  <c r="S847" i="1"/>
  <c r="T847" i="1"/>
  <c r="U847" i="1"/>
  <c r="R848" i="1"/>
  <c r="S848" i="1"/>
  <c r="T848" i="1"/>
  <c r="U848" i="1"/>
  <c r="R849" i="1"/>
  <c r="S849" i="1"/>
  <c r="T849" i="1"/>
  <c r="U849" i="1"/>
  <c r="R850" i="1"/>
  <c r="S850" i="1"/>
  <c r="T850" i="1"/>
  <c r="U850" i="1"/>
  <c r="R851" i="1"/>
  <c r="S851" i="1"/>
  <c r="T851" i="1"/>
  <c r="U851" i="1"/>
  <c r="R852" i="1"/>
  <c r="S852" i="1"/>
  <c r="T852" i="1"/>
  <c r="U852" i="1"/>
  <c r="R853" i="1"/>
  <c r="S853" i="1"/>
  <c r="T853" i="1"/>
  <c r="U853" i="1"/>
  <c r="R854" i="1"/>
  <c r="S854" i="1"/>
  <c r="T854" i="1"/>
  <c r="U854" i="1"/>
  <c r="R855" i="1"/>
  <c r="S855" i="1"/>
  <c r="T855" i="1"/>
  <c r="U855" i="1"/>
  <c r="R856" i="1"/>
  <c r="S856" i="1"/>
  <c r="T856" i="1"/>
  <c r="U856" i="1"/>
  <c r="R857" i="1"/>
  <c r="S857" i="1"/>
  <c r="T857" i="1"/>
  <c r="U857" i="1"/>
  <c r="R858" i="1"/>
  <c r="S858" i="1"/>
  <c r="T858" i="1"/>
  <c r="U858" i="1"/>
  <c r="R859" i="1"/>
  <c r="S859" i="1"/>
  <c r="T859" i="1"/>
  <c r="U859" i="1"/>
  <c r="R860" i="1"/>
  <c r="S860" i="1"/>
  <c r="T860" i="1"/>
  <c r="U860" i="1"/>
  <c r="R861" i="1"/>
  <c r="S861" i="1"/>
  <c r="T861" i="1"/>
  <c r="U861" i="1"/>
  <c r="R862" i="1"/>
  <c r="S862" i="1"/>
  <c r="T862" i="1"/>
  <c r="U862" i="1"/>
  <c r="R863" i="1"/>
  <c r="S863" i="1"/>
  <c r="T863" i="1"/>
  <c r="U863" i="1"/>
  <c r="R864" i="1"/>
  <c r="S864" i="1"/>
  <c r="T864" i="1"/>
  <c r="U864" i="1"/>
  <c r="R865" i="1"/>
  <c r="S865" i="1"/>
  <c r="T865" i="1"/>
  <c r="U865" i="1"/>
  <c r="R866" i="1"/>
  <c r="S866" i="1"/>
  <c r="T866" i="1"/>
  <c r="U866" i="1"/>
  <c r="R867" i="1"/>
  <c r="S867" i="1"/>
  <c r="T867" i="1"/>
  <c r="U867" i="1"/>
  <c r="R868" i="1"/>
  <c r="S868" i="1"/>
  <c r="T868" i="1"/>
  <c r="U868" i="1"/>
  <c r="R869" i="1"/>
  <c r="S869" i="1"/>
  <c r="T869" i="1"/>
  <c r="U869" i="1"/>
  <c r="R870" i="1"/>
  <c r="S870" i="1"/>
  <c r="T870" i="1"/>
  <c r="U870" i="1"/>
  <c r="R871" i="1"/>
  <c r="S871" i="1"/>
  <c r="T871" i="1"/>
  <c r="U871" i="1"/>
  <c r="R872" i="1"/>
  <c r="S872" i="1"/>
  <c r="T872" i="1"/>
  <c r="U872" i="1"/>
  <c r="R873" i="1"/>
  <c r="S873" i="1"/>
  <c r="T873" i="1"/>
  <c r="U873" i="1"/>
  <c r="R874" i="1"/>
  <c r="S874" i="1"/>
  <c r="T874" i="1"/>
  <c r="U874" i="1"/>
  <c r="R875" i="1"/>
  <c r="S875" i="1"/>
  <c r="T875" i="1"/>
  <c r="U875" i="1"/>
  <c r="R876" i="1"/>
  <c r="S876" i="1"/>
  <c r="T876" i="1"/>
  <c r="U876" i="1"/>
  <c r="R877" i="1"/>
  <c r="S877" i="1"/>
  <c r="T877" i="1"/>
  <c r="U877" i="1"/>
  <c r="R878" i="1"/>
  <c r="S878" i="1"/>
  <c r="T878" i="1"/>
  <c r="U878" i="1"/>
  <c r="R879" i="1"/>
  <c r="S879" i="1"/>
  <c r="T879" i="1"/>
  <c r="U879" i="1"/>
  <c r="R880" i="1"/>
  <c r="S880" i="1"/>
  <c r="T880" i="1"/>
  <c r="U880" i="1"/>
  <c r="R881" i="1"/>
  <c r="S881" i="1"/>
  <c r="T881" i="1"/>
  <c r="U881" i="1"/>
  <c r="R882" i="1"/>
  <c r="S882" i="1"/>
  <c r="T882" i="1"/>
  <c r="U882" i="1"/>
  <c r="R883" i="1"/>
  <c r="S883" i="1"/>
  <c r="T883" i="1"/>
  <c r="U883" i="1"/>
  <c r="R884" i="1"/>
  <c r="S884" i="1"/>
  <c r="T884" i="1"/>
  <c r="U884" i="1"/>
  <c r="R885" i="1"/>
  <c r="S885" i="1"/>
  <c r="T885" i="1"/>
  <c r="U885" i="1"/>
  <c r="R886" i="1"/>
  <c r="S886" i="1"/>
  <c r="T886" i="1"/>
  <c r="U886" i="1"/>
  <c r="R887" i="1"/>
  <c r="S887" i="1"/>
  <c r="T887" i="1"/>
  <c r="U887" i="1"/>
  <c r="R888" i="1"/>
  <c r="S888" i="1"/>
  <c r="T888" i="1"/>
  <c r="U888" i="1"/>
  <c r="R889" i="1"/>
  <c r="S889" i="1"/>
  <c r="T889" i="1"/>
  <c r="U889" i="1"/>
  <c r="R890" i="1"/>
  <c r="S890" i="1"/>
  <c r="T890" i="1"/>
  <c r="U890" i="1"/>
  <c r="R891" i="1"/>
  <c r="S891" i="1"/>
  <c r="T891" i="1"/>
  <c r="U891" i="1"/>
  <c r="R892" i="1"/>
  <c r="S892" i="1"/>
  <c r="T892" i="1"/>
  <c r="U892" i="1"/>
  <c r="R893" i="1"/>
  <c r="S893" i="1"/>
  <c r="T893" i="1"/>
  <c r="U893" i="1"/>
  <c r="R894" i="1"/>
  <c r="S894" i="1"/>
  <c r="T894" i="1"/>
  <c r="U894" i="1"/>
  <c r="R895" i="1"/>
  <c r="S895" i="1"/>
  <c r="T895" i="1"/>
  <c r="U895" i="1"/>
  <c r="R896" i="1"/>
  <c r="S896" i="1"/>
  <c r="T896" i="1"/>
  <c r="U896" i="1"/>
  <c r="R897" i="1"/>
  <c r="S897" i="1"/>
  <c r="T897" i="1"/>
  <c r="U897" i="1"/>
  <c r="R898" i="1"/>
  <c r="S898" i="1"/>
  <c r="T898" i="1"/>
  <c r="U898" i="1"/>
  <c r="R899" i="1"/>
  <c r="S899" i="1"/>
  <c r="T899" i="1"/>
  <c r="U899" i="1"/>
  <c r="R900" i="1"/>
  <c r="S900" i="1"/>
  <c r="T900" i="1"/>
  <c r="U900" i="1"/>
  <c r="R901" i="1"/>
  <c r="S901" i="1"/>
  <c r="T901" i="1"/>
  <c r="U901" i="1"/>
  <c r="R902" i="1"/>
  <c r="S902" i="1"/>
  <c r="T902" i="1"/>
  <c r="U902" i="1"/>
  <c r="R903" i="1"/>
  <c r="S903" i="1"/>
  <c r="T903" i="1"/>
  <c r="U903" i="1"/>
  <c r="R904" i="1"/>
  <c r="S904" i="1"/>
  <c r="T904" i="1"/>
  <c r="U904" i="1"/>
  <c r="R905" i="1"/>
  <c r="S905" i="1"/>
  <c r="T905" i="1"/>
  <c r="U905" i="1"/>
  <c r="R906" i="1"/>
  <c r="S906" i="1"/>
  <c r="T906" i="1"/>
  <c r="U906" i="1"/>
  <c r="R907" i="1"/>
  <c r="S907" i="1"/>
  <c r="T907" i="1"/>
  <c r="U907" i="1"/>
  <c r="R908" i="1"/>
  <c r="S908" i="1"/>
  <c r="T908" i="1"/>
  <c r="U908" i="1"/>
  <c r="R909" i="1"/>
  <c r="S909" i="1"/>
  <c r="T909" i="1"/>
  <c r="U909" i="1"/>
  <c r="R910" i="1"/>
  <c r="S910" i="1"/>
  <c r="T910" i="1"/>
  <c r="U910" i="1"/>
  <c r="R911" i="1"/>
  <c r="S911" i="1"/>
  <c r="T911" i="1"/>
  <c r="U911" i="1"/>
  <c r="R912" i="1"/>
  <c r="S912" i="1"/>
  <c r="T912" i="1"/>
  <c r="U912" i="1"/>
  <c r="R913" i="1"/>
  <c r="S913" i="1"/>
  <c r="T913" i="1"/>
  <c r="U913" i="1"/>
  <c r="R914" i="1"/>
  <c r="S914" i="1"/>
  <c r="T914" i="1"/>
  <c r="U914" i="1"/>
  <c r="R915" i="1"/>
  <c r="S915" i="1"/>
  <c r="T915" i="1"/>
  <c r="U915" i="1"/>
  <c r="R916" i="1"/>
  <c r="S916" i="1"/>
  <c r="T916" i="1"/>
  <c r="U916" i="1"/>
  <c r="R917" i="1"/>
  <c r="S917" i="1"/>
  <c r="T917" i="1"/>
  <c r="U917" i="1"/>
  <c r="R918" i="1"/>
  <c r="S918" i="1"/>
  <c r="T918" i="1"/>
  <c r="U918" i="1"/>
  <c r="R919" i="1"/>
  <c r="S919" i="1"/>
  <c r="T919" i="1"/>
  <c r="U919" i="1"/>
  <c r="R920" i="1"/>
  <c r="S920" i="1"/>
  <c r="T920" i="1"/>
  <c r="U920" i="1"/>
  <c r="R921" i="1"/>
  <c r="S921" i="1"/>
  <c r="T921" i="1"/>
  <c r="U921" i="1"/>
  <c r="R922" i="1"/>
  <c r="S922" i="1"/>
  <c r="T922" i="1"/>
  <c r="U922" i="1"/>
  <c r="R923" i="1"/>
  <c r="S923" i="1"/>
  <c r="T923" i="1"/>
  <c r="U923" i="1"/>
  <c r="R924" i="1"/>
  <c r="S924" i="1"/>
  <c r="T924" i="1"/>
  <c r="U924" i="1"/>
  <c r="R925" i="1"/>
  <c r="S925" i="1"/>
  <c r="T925" i="1"/>
  <c r="U925" i="1"/>
  <c r="R926" i="1"/>
  <c r="S926" i="1"/>
  <c r="T926" i="1"/>
  <c r="U926" i="1"/>
  <c r="R927" i="1"/>
  <c r="S927" i="1"/>
  <c r="T927" i="1"/>
  <c r="U927" i="1"/>
  <c r="R928" i="1"/>
  <c r="S928" i="1"/>
  <c r="T928" i="1"/>
  <c r="U928" i="1"/>
  <c r="R929" i="1"/>
  <c r="S929" i="1"/>
  <c r="T929" i="1"/>
  <c r="U929" i="1"/>
  <c r="R930" i="1"/>
  <c r="S930" i="1"/>
  <c r="T930" i="1"/>
  <c r="U930" i="1"/>
  <c r="R931" i="1"/>
  <c r="S931" i="1"/>
  <c r="T931" i="1"/>
  <c r="U931" i="1"/>
  <c r="R932" i="1"/>
  <c r="S932" i="1"/>
  <c r="T932" i="1"/>
  <c r="U932" i="1"/>
  <c r="R933" i="1"/>
  <c r="S933" i="1"/>
  <c r="T933" i="1"/>
  <c r="U933" i="1"/>
  <c r="R934" i="1"/>
  <c r="S934" i="1"/>
  <c r="T934" i="1"/>
  <c r="U934" i="1"/>
  <c r="R935" i="1"/>
  <c r="S935" i="1"/>
  <c r="T935" i="1"/>
  <c r="U935" i="1"/>
  <c r="R936" i="1"/>
  <c r="S936" i="1"/>
  <c r="T936" i="1"/>
  <c r="U936" i="1"/>
  <c r="R937" i="1"/>
  <c r="S937" i="1"/>
  <c r="T937" i="1"/>
  <c r="U937" i="1"/>
  <c r="R938" i="1"/>
  <c r="S938" i="1"/>
  <c r="T938" i="1"/>
  <c r="U938" i="1"/>
  <c r="R939" i="1"/>
  <c r="S939" i="1"/>
  <c r="T939" i="1"/>
  <c r="U939" i="1"/>
  <c r="R940" i="1"/>
  <c r="S940" i="1"/>
  <c r="T940" i="1"/>
  <c r="U940" i="1"/>
  <c r="R941" i="1"/>
  <c r="S941" i="1"/>
  <c r="T941" i="1"/>
  <c r="U941" i="1"/>
  <c r="R942" i="1"/>
  <c r="S942" i="1"/>
  <c r="T942" i="1"/>
  <c r="U942" i="1"/>
  <c r="R943" i="1"/>
  <c r="S943" i="1"/>
  <c r="T943" i="1"/>
  <c r="U943" i="1"/>
  <c r="R944" i="1"/>
  <c r="S944" i="1"/>
  <c r="T944" i="1"/>
  <c r="U944" i="1"/>
  <c r="R945" i="1"/>
  <c r="S945" i="1"/>
  <c r="T945" i="1"/>
  <c r="U945" i="1"/>
  <c r="R946" i="1"/>
  <c r="S946" i="1"/>
  <c r="T946" i="1"/>
  <c r="U946" i="1"/>
  <c r="R947" i="1"/>
  <c r="S947" i="1"/>
  <c r="T947" i="1"/>
  <c r="U947" i="1"/>
  <c r="R948" i="1"/>
  <c r="S948" i="1"/>
  <c r="T948" i="1"/>
  <c r="U948" i="1"/>
  <c r="R949" i="1"/>
  <c r="S949" i="1"/>
  <c r="T949" i="1"/>
  <c r="U949" i="1"/>
  <c r="R950" i="1"/>
  <c r="S950" i="1"/>
  <c r="T950" i="1"/>
  <c r="U950" i="1"/>
  <c r="R951" i="1"/>
  <c r="S951" i="1"/>
  <c r="T951" i="1"/>
  <c r="U951" i="1"/>
  <c r="R952" i="1"/>
  <c r="S952" i="1"/>
  <c r="T952" i="1"/>
  <c r="U952" i="1"/>
  <c r="R953" i="1"/>
  <c r="S953" i="1"/>
  <c r="T953" i="1"/>
  <c r="U953" i="1"/>
  <c r="R954" i="1"/>
  <c r="S954" i="1"/>
  <c r="T954" i="1"/>
  <c r="U954" i="1"/>
  <c r="R955" i="1"/>
  <c r="S955" i="1"/>
  <c r="T955" i="1"/>
  <c r="U955" i="1"/>
  <c r="R956" i="1"/>
  <c r="S956" i="1"/>
  <c r="T956" i="1"/>
  <c r="U956" i="1"/>
  <c r="R957" i="1"/>
  <c r="S957" i="1"/>
  <c r="T957" i="1"/>
  <c r="U957" i="1"/>
  <c r="R958" i="1"/>
  <c r="S958" i="1"/>
  <c r="T958" i="1"/>
  <c r="U958" i="1"/>
  <c r="R959" i="1"/>
  <c r="S959" i="1"/>
  <c r="T959" i="1"/>
  <c r="U959" i="1"/>
  <c r="R960" i="1"/>
  <c r="S960" i="1"/>
  <c r="T960" i="1"/>
  <c r="U960" i="1"/>
  <c r="R961" i="1"/>
  <c r="S961" i="1"/>
  <c r="T961" i="1"/>
  <c r="U961" i="1"/>
  <c r="R962" i="1"/>
  <c r="S962" i="1"/>
  <c r="T962" i="1"/>
  <c r="U962" i="1"/>
  <c r="R963" i="1"/>
  <c r="S963" i="1"/>
  <c r="T963" i="1"/>
  <c r="U963" i="1"/>
  <c r="R964" i="1"/>
  <c r="S964" i="1"/>
  <c r="T964" i="1"/>
  <c r="U964" i="1"/>
  <c r="R965" i="1"/>
  <c r="S965" i="1"/>
  <c r="T965" i="1"/>
  <c r="U965" i="1"/>
  <c r="R966" i="1"/>
  <c r="S966" i="1"/>
  <c r="T966" i="1"/>
  <c r="U966" i="1"/>
  <c r="R967" i="1"/>
  <c r="S967" i="1"/>
  <c r="T967" i="1"/>
  <c r="U967" i="1"/>
  <c r="R968" i="1"/>
  <c r="S968" i="1"/>
  <c r="T968" i="1"/>
  <c r="U968" i="1"/>
  <c r="R969" i="1"/>
  <c r="S969" i="1"/>
  <c r="T969" i="1"/>
  <c r="U969" i="1"/>
  <c r="R970" i="1"/>
  <c r="S970" i="1"/>
  <c r="T970" i="1"/>
  <c r="U970" i="1"/>
  <c r="R971" i="1"/>
  <c r="S971" i="1"/>
  <c r="T971" i="1"/>
  <c r="U971" i="1"/>
  <c r="R972" i="1"/>
  <c r="S972" i="1"/>
  <c r="T972" i="1"/>
  <c r="U972" i="1"/>
  <c r="R973" i="1"/>
  <c r="S973" i="1"/>
  <c r="T973" i="1"/>
  <c r="U973" i="1"/>
  <c r="R974" i="1"/>
  <c r="S974" i="1"/>
  <c r="T974" i="1"/>
  <c r="U974" i="1"/>
  <c r="R975" i="1"/>
  <c r="S975" i="1"/>
  <c r="T975" i="1"/>
  <c r="U975" i="1"/>
  <c r="R976" i="1"/>
  <c r="S976" i="1"/>
  <c r="T976" i="1"/>
  <c r="U976" i="1"/>
  <c r="R977" i="1"/>
  <c r="S977" i="1"/>
  <c r="T977" i="1"/>
  <c r="U977" i="1"/>
  <c r="R978" i="1"/>
  <c r="S978" i="1"/>
  <c r="T978" i="1"/>
  <c r="U978" i="1"/>
  <c r="R979" i="1"/>
  <c r="S979" i="1"/>
  <c r="T979" i="1"/>
  <c r="U979" i="1"/>
  <c r="R980" i="1"/>
  <c r="S980" i="1"/>
  <c r="T980" i="1"/>
  <c r="U980" i="1"/>
  <c r="R981" i="1"/>
  <c r="S981" i="1"/>
  <c r="T981" i="1"/>
  <c r="U981" i="1"/>
  <c r="R982" i="1"/>
  <c r="S982" i="1"/>
  <c r="T982" i="1"/>
  <c r="U982" i="1"/>
  <c r="R983" i="1"/>
  <c r="S983" i="1"/>
  <c r="T983" i="1"/>
  <c r="U983" i="1"/>
  <c r="R984" i="1"/>
  <c r="S984" i="1"/>
  <c r="T984" i="1"/>
  <c r="U984" i="1"/>
  <c r="R985" i="1"/>
  <c r="S985" i="1"/>
  <c r="T985" i="1"/>
  <c r="U985" i="1"/>
  <c r="R986" i="1"/>
  <c r="S986" i="1"/>
  <c r="T986" i="1"/>
  <c r="U986" i="1"/>
  <c r="R987" i="1"/>
  <c r="S987" i="1"/>
  <c r="T987" i="1"/>
  <c r="U987" i="1"/>
  <c r="R988" i="1"/>
  <c r="S988" i="1"/>
  <c r="T988" i="1"/>
  <c r="U988" i="1"/>
  <c r="R989" i="1"/>
  <c r="S989" i="1"/>
  <c r="T989" i="1"/>
  <c r="U989" i="1"/>
  <c r="R990" i="1"/>
  <c r="S990" i="1"/>
  <c r="T990" i="1"/>
  <c r="U990" i="1"/>
  <c r="R991" i="1"/>
  <c r="S991" i="1"/>
  <c r="T991" i="1"/>
  <c r="U991" i="1"/>
  <c r="R992" i="1"/>
  <c r="S992" i="1"/>
  <c r="T992" i="1"/>
  <c r="U992" i="1"/>
  <c r="R993" i="1"/>
  <c r="S993" i="1"/>
  <c r="T993" i="1"/>
  <c r="U993" i="1"/>
  <c r="R994" i="1"/>
  <c r="S994" i="1"/>
  <c r="T994" i="1"/>
  <c r="U994" i="1"/>
  <c r="R995" i="1"/>
  <c r="S995" i="1"/>
  <c r="T995" i="1"/>
  <c r="U995" i="1"/>
  <c r="R996" i="1"/>
  <c r="S996" i="1"/>
  <c r="T996" i="1"/>
  <c r="U996" i="1"/>
  <c r="R997" i="1"/>
  <c r="S997" i="1"/>
  <c r="T997" i="1"/>
  <c r="U997" i="1"/>
  <c r="R998" i="1"/>
  <c r="S998" i="1"/>
  <c r="T998" i="1"/>
  <c r="U998" i="1"/>
  <c r="R999" i="1"/>
  <c r="S999" i="1"/>
  <c r="T999" i="1"/>
  <c r="U999" i="1"/>
  <c r="R1000" i="1"/>
  <c r="S1000" i="1"/>
  <c r="T1000" i="1"/>
  <c r="U1000" i="1"/>
  <c r="U1001" i="1"/>
  <c r="T1001" i="1"/>
  <c r="S1001" i="1"/>
  <c r="R1001" i="1"/>
</calcChain>
</file>

<file path=xl/sharedStrings.xml><?xml version="1.0" encoding="utf-8"?>
<sst xmlns="http://schemas.openxmlformats.org/spreadsheetml/2006/main" count="7086" uniqueCount="1074">
  <si>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</si>
  <si>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</si>
  <si>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</si>
  <si>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</si>
  <si>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</si>
  <si>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</si>
  <si>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</si>
  <si>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</si>
  <si>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</si>
  <si>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</si>
  <si>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</si>
  <si>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</si>
  <si>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</si>
  <si>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</si>
  <si>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</si>
  <si>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</si>
  <si>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</si>
  <si>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</si>
  <si>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</si>
  <si>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</si>
  <si>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</si>
  <si>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</si>
  <si>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</si>
  <si>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</si>
  <si>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</si>
  <si>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</si>
  <si>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</si>
  <si>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</si>
  <si>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</si>
  <si>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</si>
  <si>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</si>
  <si>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</si>
  <si>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</si>
  <si>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</si>
  <si>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</si>
  <si>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</si>
  <si>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</si>
  <si>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</si>
  <si>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</si>
  <si>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</si>
  <si>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</si>
  <si>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</si>
  <si>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</si>
  <si>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</si>
  <si>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</si>
  <si>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</si>
  <si>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</si>
  <si>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</si>
  <si>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</si>
  <si>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</si>
  <si>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</si>
  <si>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</si>
  <si>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</si>
  <si>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</si>
  <si>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</si>
  <si>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</si>
  <si>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</si>
  <si>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</si>
  <si>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</si>
  <si>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</si>
  <si>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</si>
  <si>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</si>
  <si>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</si>
  <si>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</si>
  <si>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</si>
  <si>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</si>
  <si>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</si>
  <si>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</si>
  <si>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</si>
  <si>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</si>
  <si>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</si>
  <si>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</si>
  <si>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</si>
  <si>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</si>
  <si>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</si>
  <si>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</si>
  <si>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</si>
  <si>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</si>
  <si>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</si>
  <si>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</si>
  <si>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</si>
  <si>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</si>
  <si>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</si>
  <si>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</si>
  <si>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</si>
  <si>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</si>
  <si>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</si>
  <si>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</si>
  <si>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</si>
  <si>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</si>
  <si>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</si>
  <si>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</si>
  <si>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</si>
  <si>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</si>
  <si>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</si>
  <si>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</si>
  <si>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</si>
  <si>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</si>
  <si>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</si>
  <si>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</si>
  <si>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</si>
  <si>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</si>
  <si>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</si>
  <si>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</si>
  <si>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</si>
  <si>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</si>
  <si>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</si>
  <si>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</si>
  <si>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</si>
  <si>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</si>
  <si>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</si>
  <si>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</si>
  <si>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</si>
  <si>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</si>
  <si>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</si>
  <si>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</si>
  <si>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</si>
  <si>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</si>
  <si>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</si>
  <si>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</si>
  <si>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</si>
  <si>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</si>
  <si>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</si>
  <si>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</si>
  <si>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</si>
  <si>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</si>
  <si>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</si>
  <si>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</si>
  <si>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</si>
  <si>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</si>
  <si>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</si>
  <si>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</si>
  <si>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</si>
  <si>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</si>
  <si>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</si>
  <si>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</si>
  <si>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</si>
  <si>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</si>
  <si>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</si>
  <si>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</si>
  <si>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</si>
  <si>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</si>
  <si>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</si>
  <si>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</si>
  <si>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</si>
  <si>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</si>
  <si>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</si>
  <si>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</si>
  <si>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</si>
  <si>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</si>
  <si>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</si>
  <si>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</si>
  <si>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</si>
  <si>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</si>
  <si>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</si>
  <si>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</si>
  <si>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</si>
  <si>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</si>
  <si>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</si>
  <si>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</si>
  <si>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</si>
  <si>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</si>
  <si>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</si>
  <si>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</si>
  <si>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</si>
  <si>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</si>
  <si>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</si>
  <si>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</si>
  <si>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</si>
  <si>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</si>
  <si>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</si>
  <si>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</si>
  <si>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</si>
  <si>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</si>
  <si>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</si>
  <si>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</si>
  <si>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</si>
  <si>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</si>
  <si>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</si>
  <si>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</si>
  <si>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</si>
  <si>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</si>
  <si>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</si>
  <si>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</si>
  <si>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</si>
  <si>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</si>
  <si>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</si>
  <si>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</si>
  <si>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</si>
  <si>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</si>
  <si>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</si>
  <si>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</si>
  <si>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</si>
  <si>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</si>
  <si>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</si>
  <si>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</si>
  <si>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</si>
  <si>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</si>
  <si>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</si>
  <si>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</si>
  <si>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</si>
  <si>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</si>
  <si>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</si>
  <si>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</si>
  <si>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</si>
  <si>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</si>
  <si>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</si>
  <si>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</si>
  <si>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</si>
  <si>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</si>
  <si>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</si>
  <si>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</si>
  <si>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</si>
  <si>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</si>
  <si>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</si>
  <si>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</si>
  <si>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</si>
  <si>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</si>
  <si>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</si>
  <si>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</si>
  <si>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</si>
  <si>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</si>
  <si>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</si>
  <si>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</si>
  <si>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</si>
  <si>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</si>
  <si>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</si>
  <si>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</si>
  <si>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</si>
  <si>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</si>
  <si>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</si>
  <si>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</si>
  <si>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</si>
  <si>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</si>
  <si>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</si>
  <si>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</si>
  <si>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</si>
  <si>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</si>
  <si>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</si>
  <si>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</si>
  <si>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</si>
  <si>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</si>
  <si>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</si>
  <si>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</si>
  <si>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</si>
  <si>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</si>
  <si>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</si>
  <si>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</si>
  <si>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</si>
  <si>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</si>
  <si>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</si>
  <si>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</si>
  <si>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</si>
  <si>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</si>
  <si>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</si>
  <si>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</si>
  <si>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</si>
  <si>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</si>
  <si>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</si>
  <si>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</si>
  <si>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</si>
  <si>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</si>
  <si>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</si>
  <si>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</si>
  <si>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</si>
  <si>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</si>
  <si>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</si>
  <si>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</si>
  <si>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</si>
  <si>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</si>
  <si>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</si>
  <si>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</si>
  <si>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</si>
  <si>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</si>
  <si>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</si>
  <si>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</si>
  <si>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</si>
  <si>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</si>
  <si>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</si>
  <si>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</si>
  <si>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</si>
  <si>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</si>
  <si>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</si>
  <si>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</si>
  <si>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</si>
  <si>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</si>
  <si>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</si>
  <si>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</si>
  <si>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</si>
  <si>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</si>
  <si>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</si>
  <si>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</si>
  <si>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</si>
  <si>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</si>
  <si>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</si>
  <si>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</si>
  <si>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</si>
  <si>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</si>
  <si>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</si>
  <si>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</si>
  <si>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</si>
  <si>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</si>
  <si>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</si>
  <si>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</si>
  <si>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</si>
  <si>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</si>
  <si>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</si>
  <si>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</si>
  <si>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</si>
  <si>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</si>
  <si>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</si>
  <si>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</si>
  <si>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</si>
  <si>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</si>
  <si>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</si>
  <si>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</si>
  <si>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</si>
  <si>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</si>
  <si>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</si>
  <si>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</si>
  <si>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</si>
  <si>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</si>
  <si>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</si>
  <si>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</si>
  <si>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</si>
  <si>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</si>
  <si>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</si>
  <si>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</si>
  <si>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</si>
  <si>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</si>
  <si>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</si>
  <si>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</si>
  <si>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</si>
  <si>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</si>
  <si>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</si>
  <si>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</si>
  <si>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</si>
  <si>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</si>
  <si>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</si>
  <si>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</si>
  <si>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</si>
  <si>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</si>
  <si>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</si>
  <si>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</si>
  <si>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</si>
  <si>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</si>
  <si>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</si>
  <si>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</si>
  <si>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</si>
  <si>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</si>
  <si>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</si>
  <si>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</si>
  <si>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</si>
  <si>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</si>
  <si>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</si>
  <si>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</si>
  <si>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</si>
  <si>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</si>
  <si>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</si>
  <si>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</si>
  <si>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</si>
  <si>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</si>
  <si>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</si>
  <si>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</si>
  <si>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</si>
  <si>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</si>
  <si>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</si>
  <si>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</si>
  <si>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</si>
  <si>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</si>
  <si>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</si>
  <si>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</si>
  <si>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</si>
  <si>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</si>
  <si>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</si>
  <si>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</si>
  <si>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</si>
  <si>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</si>
  <si>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</si>
  <si>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</si>
  <si>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</si>
  <si>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</si>
  <si>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</si>
  <si>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</si>
  <si>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</si>
  <si>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</si>
  <si>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</si>
  <si>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</si>
  <si>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</si>
  <si>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</si>
  <si>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</si>
  <si>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</si>
  <si>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</si>
  <si>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</si>
  <si>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</si>
  <si>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</si>
  <si>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</si>
  <si>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</si>
  <si>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</si>
  <si>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</si>
  <si>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</si>
  <si>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</si>
  <si>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</si>
  <si>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</si>
  <si>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</si>
  <si>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</si>
  <si>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</si>
  <si>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</si>
  <si>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</si>
  <si>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</si>
  <si>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</si>
  <si>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</si>
  <si>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</si>
  <si>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</si>
  <si>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</si>
  <si>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</si>
  <si>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</si>
  <si>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</si>
  <si>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</si>
  <si>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</si>
  <si>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</si>
  <si>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</si>
  <si>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</si>
  <si>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</si>
  <si>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</si>
  <si>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</si>
  <si>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</si>
  <si>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</si>
  <si>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</si>
  <si>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</si>
  <si>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</si>
  <si>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</si>
  <si>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</si>
  <si>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</si>
  <si>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</si>
  <si>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</si>
  <si>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</si>
  <si>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</si>
  <si>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</si>
  <si>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</si>
  <si>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</si>
  <si>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</si>
  <si>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</si>
  <si>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</si>
  <si>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</si>
  <si>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</si>
  <si>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</si>
  <si>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</si>
  <si>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</si>
  <si>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</si>
  <si>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</si>
  <si>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</si>
  <si>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</si>
  <si>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</si>
  <si>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</si>
  <si>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</si>
  <si>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</si>
  <si>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</si>
  <si>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</si>
  <si>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</si>
  <si>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</si>
  <si>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</si>
  <si>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</si>
  <si>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</si>
  <si>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</si>
  <si>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</si>
  <si>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</si>
  <si>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</si>
  <si>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</si>
  <si>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</si>
  <si>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</si>
  <si>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</si>
  <si>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</si>
  <si>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</si>
  <si>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</si>
  <si>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</si>
  <si>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</si>
  <si>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</si>
  <si>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</si>
  <si>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</si>
  <si>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</si>
  <si>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</si>
  <si>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</si>
  <si>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</si>
  <si>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</si>
  <si>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</si>
  <si>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</si>
  <si>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</si>
  <si>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</si>
  <si>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</si>
  <si>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</si>
  <si>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</si>
  <si>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</si>
  <si>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</si>
  <si>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</si>
  <si>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</si>
  <si>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</si>
  <si>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</si>
  <si>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</si>
  <si>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</si>
  <si>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</si>
  <si>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</si>
  <si>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</si>
  <si>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</si>
  <si>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</si>
  <si>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</si>
  <si>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</si>
  <si>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</si>
  <si>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</si>
  <si>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</si>
  <si>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</si>
  <si>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</si>
  <si>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</si>
  <si>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</si>
  <si>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</si>
  <si>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</si>
  <si>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</si>
  <si>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</si>
  <si>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</si>
  <si>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</si>
  <si>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</si>
  <si>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</si>
  <si>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</si>
  <si>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</si>
  <si>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</si>
  <si>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</si>
  <si>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</si>
  <si>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</si>
  <si>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</si>
  <si>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</si>
  <si>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</si>
  <si>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</si>
  <si>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</si>
  <si>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</si>
  <si>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</si>
  <si>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</si>
  <si>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</si>
  <si>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</si>
  <si>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</si>
  <si>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</si>
  <si>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</si>
  <si>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</si>
  <si>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</si>
  <si>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</si>
  <si>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</si>
  <si>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</si>
  <si>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</si>
  <si>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</si>
  <si>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</si>
  <si>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</si>
  <si>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</si>
  <si>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</si>
  <si>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</si>
  <si>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</si>
  <si>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</si>
  <si>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</si>
  <si>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</si>
  <si>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</si>
  <si>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</si>
  <si>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</si>
  <si>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</si>
  <si>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</si>
  <si>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</si>
  <si>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</si>
  <si>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</si>
  <si>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</si>
  <si>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</si>
  <si>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</si>
  <si>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</si>
  <si>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</si>
  <si>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</si>
  <si>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</si>
  <si>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</si>
  <si>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</si>
  <si>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</si>
  <si>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</si>
  <si>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</si>
  <si>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</si>
  <si>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</si>
  <si>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</si>
  <si>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</si>
  <si>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</si>
  <si>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</si>
  <si>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</si>
  <si>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</si>
  <si>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</si>
  <si>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</si>
  <si>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</si>
  <si>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</si>
  <si>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</si>
  <si>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</si>
  <si>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</si>
  <si>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</si>
  <si>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</si>
  <si>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</si>
  <si>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</si>
  <si>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</si>
  <si>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</si>
  <si>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</si>
  <si>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</si>
  <si>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</si>
  <si>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</si>
  <si>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</si>
  <si>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</si>
  <si>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</si>
  <si>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</si>
  <si>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</si>
  <si>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</si>
  <si>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</si>
  <si>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</si>
  <si>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</si>
  <si>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</si>
  <si>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</si>
  <si>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</si>
  <si>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</si>
  <si>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</si>
  <si>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</si>
  <si>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</si>
  <si>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</si>
  <si>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</si>
  <si>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</si>
  <si>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</si>
  <si>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</si>
  <si>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</si>
  <si>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</si>
  <si>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</si>
  <si>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</si>
  <si>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</si>
  <si>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</si>
  <si>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</si>
  <si>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</si>
  <si>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</si>
  <si>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</si>
  <si>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</si>
  <si>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</si>
  <si>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</si>
  <si>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</si>
  <si>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</si>
  <si>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</si>
  <si>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</si>
  <si>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</si>
  <si>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</si>
  <si>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</si>
  <si>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</si>
  <si>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</si>
  <si>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</si>
  <si>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</si>
  <si>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</si>
  <si>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</si>
  <si>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</si>
  <si>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</si>
  <si>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</si>
  <si>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</si>
  <si>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</si>
  <si>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</si>
  <si>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</si>
  <si>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</si>
  <si>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</si>
  <si>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</si>
  <si>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</si>
  <si>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</si>
  <si>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</si>
  <si>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</si>
  <si>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</si>
  <si>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</si>
  <si>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</si>
  <si>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</si>
  <si>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</si>
  <si>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</si>
  <si>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</si>
  <si>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</si>
  <si>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</si>
  <si>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</si>
  <si>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</si>
  <si>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</si>
  <si>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</si>
  <si>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</si>
  <si>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</si>
  <si>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</si>
  <si>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</si>
  <si>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</si>
  <si>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</si>
  <si>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</si>
  <si>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</si>
  <si>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</si>
  <si>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</si>
  <si>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</si>
  <si>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</si>
  <si>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</si>
  <si>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</si>
  <si>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</si>
  <si>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</si>
  <si>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</si>
  <si>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</si>
  <si>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</si>
  <si>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</si>
  <si>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</si>
  <si>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</si>
  <si>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</si>
  <si>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</si>
  <si>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</si>
  <si>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</si>
  <si>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</si>
  <si>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</si>
  <si>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</si>
  <si>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</si>
  <si>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</si>
  <si>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</si>
  <si>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</si>
  <si>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</si>
  <si>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</si>
  <si>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</si>
  <si>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</si>
  <si>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</si>
  <si>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</si>
  <si>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</si>
  <si>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</si>
  <si>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</si>
  <si>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</si>
  <si>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</si>
  <si>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</si>
  <si>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</si>
  <si>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</si>
  <si>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</si>
  <si>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</si>
  <si>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</si>
  <si>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</si>
  <si>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</si>
  <si>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</si>
  <si>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</si>
  <si>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</si>
  <si>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</si>
  <si>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</si>
  <si>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</si>
  <si>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</si>
  <si>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</si>
  <si>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</si>
  <si>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</si>
  <si>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</si>
  <si>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</si>
  <si>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</si>
  <si>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</si>
  <si>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</si>
  <si>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</si>
  <si>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</si>
  <si>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</si>
  <si>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</si>
  <si>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</si>
  <si>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</si>
  <si>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</si>
  <si>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</si>
  <si>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</si>
  <si>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</si>
  <si>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</si>
  <si>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</si>
  <si>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</si>
  <si>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</si>
  <si>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</si>
  <si>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</si>
  <si>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</si>
  <si>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</si>
  <si>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</si>
  <si>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</si>
  <si>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</si>
  <si>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</si>
  <si>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</si>
  <si>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</si>
  <si>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</si>
  <si>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</si>
  <si>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</si>
  <si>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</si>
  <si>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</si>
  <si>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</si>
  <si>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</si>
  <si>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</si>
  <si>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</si>
  <si>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</si>
  <si>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</si>
  <si>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</si>
  <si>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</si>
  <si>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</si>
  <si>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</si>
  <si>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</si>
  <si>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</si>
  <si>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</si>
  <si>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</si>
  <si>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</si>
  <si>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</si>
  <si>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</si>
  <si>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</si>
  <si>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</si>
  <si>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</si>
  <si>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</si>
  <si>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</si>
  <si>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</si>
  <si>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</si>
  <si>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</si>
  <si>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</si>
  <si>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</si>
  <si>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</si>
  <si>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</si>
  <si>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</si>
  <si>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</si>
  <si>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</si>
  <si>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</si>
  <si>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</si>
  <si>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</si>
  <si>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</si>
  <si>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</si>
  <si>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</si>
  <si>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</si>
  <si>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</si>
  <si>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</si>
  <si>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</si>
  <si>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</si>
  <si>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</si>
  <si>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</si>
  <si>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</si>
  <si>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</si>
  <si>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</si>
  <si>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</si>
  <si>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</si>
  <si>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</si>
  <si>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</si>
  <si>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</si>
  <si>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</si>
  <si>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</si>
  <si>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</si>
  <si>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</si>
  <si>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</si>
  <si>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</si>
  <si>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</si>
  <si>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</si>
  <si>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</si>
  <si>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</si>
  <si>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</si>
  <si>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</si>
  <si>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</si>
  <si>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</si>
  <si>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</si>
  <si>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</si>
  <si>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</si>
  <si>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</si>
  <si>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</si>
  <si>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</si>
  <si>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</si>
  <si>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</si>
  <si>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</si>
  <si>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</si>
  <si>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</si>
  <si>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</si>
  <si>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</si>
  <si>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</si>
  <si>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</si>
  <si>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</si>
  <si>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</si>
  <si>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</si>
  <si>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</si>
  <si>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</si>
  <si>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</si>
  <si>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</si>
  <si>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</si>
  <si>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</si>
  <si>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</si>
  <si>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</si>
  <si>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</si>
  <si>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</si>
  <si>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</si>
  <si>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</si>
  <si>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</si>
  <si>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</si>
  <si>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</si>
  <si>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</si>
  <si>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</si>
  <si>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</si>
  <si>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</si>
  <si>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</si>
  <si>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</si>
  <si>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</si>
  <si>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</si>
  <si>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</si>
  <si>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</si>
  <si>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</si>
  <si>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</si>
  <si>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</si>
  <si>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</si>
  <si>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</si>
  <si>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</si>
  <si>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</si>
  <si>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</si>
  <si>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</si>
  <si>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</si>
  <si>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</si>
  <si>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</si>
  <si>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</si>
  <si>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</si>
  <si>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</si>
  <si>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</si>
  <si>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</si>
  <si>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</si>
  <si>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</si>
  <si>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</si>
  <si>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</si>
  <si>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</si>
  <si>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</si>
  <si>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</si>
  <si>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</si>
  <si>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</si>
  <si>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</si>
  <si>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</si>
  <si>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</si>
  <si>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</si>
  <si>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</si>
  <si>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</si>
  <si>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</si>
  <si>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</si>
  <si>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</si>
  <si>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</si>
  <si>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</si>
  <si>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</si>
  <si>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</si>
  <si>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</si>
  <si>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</si>
  <si>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</si>
  <si>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</si>
  <si>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</si>
  <si>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</si>
  <si>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</si>
  <si>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</si>
  <si>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</si>
  <si>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</si>
  <si>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</si>
  <si>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</si>
  <si>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</si>
  <si>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</si>
  <si>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</si>
  <si>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</si>
  <si>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</si>
  <si>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</si>
  <si>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</si>
  <si>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</si>
  <si>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</si>
  <si>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</si>
  <si>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</si>
  <si>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</si>
  <si>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</si>
  <si>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</si>
  <si>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</si>
  <si>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</si>
  <si>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</si>
  <si>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</si>
  <si>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</si>
  <si>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</si>
  <si>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</si>
  <si>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</si>
  <si>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</si>
  <si>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</si>
  <si>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</si>
  <si>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</si>
  <si>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</si>
  <si>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</si>
  <si>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</si>
  <si>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</si>
  <si>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</si>
  <si>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</si>
  <si>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</si>
  <si>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</si>
  <si>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</si>
  <si>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</si>
  <si>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</si>
  <si>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</si>
  <si>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</si>
  <si>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</si>
  <si>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</si>
  <si>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</si>
  <si>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</si>
  <si>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</si>
  <si>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</si>
  <si>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</si>
  <si>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</si>
  <si>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</si>
  <si>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</si>
  <si>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</si>
  <si>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</si>
  <si>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</si>
  <si>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</si>
  <si>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</si>
  <si>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</si>
  <si>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</si>
  <si>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</si>
  <si>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</si>
  <si>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</si>
  <si>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</si>
  <si>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</si>
  <si>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</si>
  <si>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</si>
  <si>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</si>
  <si>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</si>
  <si>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</si>
  <si>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</si>
  <si>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</si>
  <si>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</si>
  <si>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</si>
  <si>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</si>
  <si>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</si>
  <si>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</si>
  <si>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</si>
  <si>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</si>
  <si>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</si>
  <si>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</si>
  <si>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</si>
  <si>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</si>
  <si>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</si>
  <si>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</si>
  <si>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</si>
  <si>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</si>
  <si>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</si>
  <si>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</si>
  <si>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</si>
  <si>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</si>
  <si>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</si>
  <si>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</si>
  <si>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</si>
  <si>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</si>
  <si>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</si>
  <si>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</si>
  <si>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</si>
  <si>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</si>
  <si>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</si>
  <si>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</si>
  <si>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</si>
  <si>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</si>
  <si>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</si>
  <si>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</si>
  <si>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</si>
  <si>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</si>
  <si>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Revenue</t>
  </si>
  <si>
    <t>Month_Name</t>
  </si>
  <si>
    <t>Month_No</t>
  </si>
  <si>
    <t>Day_Name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</si>
  <si>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</si>
  <si>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</si>
  <si>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</si>
  <si>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</si>
  <si>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</si>
  <si>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</si>
  <si>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</si>
  <si>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</si>
  <si>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</si>
  <si>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</si>
  <si>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</si>
  <si>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</si>
  <si>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</si>
  <si>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</si>
  <si>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Revenue</t>
  </si>
  <si>
    <t>Monday</t>
  </si>
  <si>
    <t>Tuesday</t>
  </si>
  <si>
    <t>Wednesday</t>
  </si>
  <si>
    <t>Thursday</t>
  </si>
  <si>
    <t>Friday</t>
  </si>
  <si>
    <t>Saturday</t>
  </si>
  <si>
    <t>Sunday</t>
  </si>
  <si>
    <t>Average of Revenue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</si>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</sst>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[$-F400]h:mm:ss\ am/pm"/>
    <numFmt numFmtId="170" formatCode="&quot;£&quot;#,##0.00"/>
    <numFmt numFmtId="171" formatCode="[$MMK]\ #,##0.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170" fontId="0" fillId="0" borderId="0" xfId="0" applyNumberFormat="1" applyAlignment="1">
      <alignment horizontal="left"/>
    </xf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7">
    <dxf>
      <numFmt numFmtId="171" formatCode="[$MMK]\ 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1" formatCode="[$MMK]\ 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1" formatCode="[$MMK]\ 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numFmt numFmtId="170" formatCode="&quot;£&quot;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Analysis.xlsx]Average Spend by Customer!PivotTable9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Spend</a:t>
            </a:r>
            <a:r>
              <a:rPr lang="en-US" b="1" baseline="0">
                <a:solidFill>
                  <a:schemeClr val="tx1"/>
                </a:solidFill>
              </a:rPr>
              <a:t> by Customer</a:t>
            </a:r>
          </a:p>
          <a:p>
            <a:pPr>
              <a:defRPr b="1">
                <a:solidFill>
                  <a:schemeClr val="tx1"/>
                </a:solidFill>
              </a:defRPr>
            </a:pP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Spend by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Spend by Customer'!$A$4:$A$6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'Average Spend by Customer'!$B$4:$B$6</c:f>
              <c:numCache>
                <c:formatCode>[$MMK]\ #,##0.00</c:formatCode>
                <c:ptCount val="2"/>
                <c:pt idx="0">
                  <c:v>319.75518584070778</c:v>
                </c:pt>
                <c:pt idx="1">
                  <c:v>291.78321839080468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0-9440-A7FF-66BEC4FBED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36367055"/>
        <c:axId val="90810816"/>
      </c:barChart>
      <c:catAx>
        <c:axId val="203636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chemeClr val="tx1"/>
                    </a:solidFill>
                  </a:rPr>
                  <a:t>CUSTOMER TYPE</a:t>
                </a:r>
              </a:p>
              <a:p>
                <a:pPr>
                  <a:defRPr sz="1200">
                    <a:solidFill>
                      <a:schemeClr val="tx1"/>
                    </a:solidFill>
                  </a:defRPr>
                </a:pPr>
                <a:endParaRPr lang="en-GB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0816"/>
        <c:crosses val="autoZero"/>
        <c:auto val="1"/>
        <c:lblAlgn val="ctr"/>
        <c:lblOffset val="100"/>
        <c:noMultiLvlLbl val="0"/>
      </c:catAx>
      <c:valAx>
        <c:axId val="90810816"/>
        <c:scaling>
          <c:orientation val="minMax"/>
        </c:scaling>
        <c:delete val="0"/>
        <c:axPos val="l"/>
        <c:numFmt formatCode="[$MMK]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36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Analysis.xlsx]Revenue by Hour!PivotTable10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Revenue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by Hour'!$B$3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'Revenue by Hour'!$A$4:$A$15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'Revenue by Hour'!$B$4:$B$15</c:f>
              <c:numCache>
                <c:formatCode>[$MMK]\ #,##0.00</c:formatCode>
                <c:ptCount val="11"/>
                <c:pt idx="0">
                  <c:v>29925.22</c:v>
                </c:pt>
                <c:pt idx="1">
                  <c:v>28930.790000000008</c:v>
                </c:pt>
                <c:pt idx="2">
                  <c:v>24824.649999999994</c:v>
                </c:pt>
                <c:pt idx="3">
                  <c:v>33069.740000000005</c:v>
                </c:pt>
                <c:pt idx="4">
                  <c:v>29360.380000000008</c:v>
                </c:pt>
                <c:pt idx="5">
                  <c:v>29694.770000000008</c:v>
                </c:pt>
                <c:pt idx="6">
                  <c:v>24025.070000000007</c:v>
                </c:pt>
                <c:pt idx="7">
                  <c:v>23281.160000000003</c:v>
                </c:pt>
                <c:pt idx="8">
                  <c:v>24790.800000000007</c:v>
                </c:pt>
                <c:pt idx="9">
                  <c:v>37809.060000000005</c:v>
                </c:pt>
                <c:pt idx="10">
                  <c:v>21875.740000000005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5-FC4A-8D60-FE69EF04E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790015"/>
        <c:axId val="583795823"/>
      </c:lineChart>
      <c:catAx>
        <c:axId val="583790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</a:rPr>
                  <a:t>TIME</a:t>
                </a:r>
                <a:r>
                  <a:rPr lang="en-GB" sz="1200" b="1" baseline="0">
                    <a:solidFill>
                      <a:schemeClr val="tx1"/>
                    </a:solidFill>
                  </a:rPr>
                  <a:t> (HOURS)</a:t>
                </a:r>
                <a:endParaRPr lang="en-GB" sz="1200" b="1">
                  <a:solidFill>
                    <a:schemeClr val="tx1"/>
                  </a:solidFill>
                </a:endParaRPr>
              </a:p>
              <a:p>
                <a:pPr>
                  <a:defRPr sz="1200" b="1">
                    <a:solidFill>
                      <a:schemeClr val="tx1"/>
                    </a:solidFill>
                  </a:defRPr>
                </a:pP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95823"/>
        <c:crosses val="autoZero"/>
        <c:auto val="1"/>
        <c:lblAlgn val="ctr"/>
        <c:lblOffset val="100"/>
        <c:noMultiLvlLbl val="0"/>
      </c:catAx>
      <c:valAx>
        <c:axId val="583795823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MMK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90015"/>
        <c:crosses val="autoZero"/>
        <c:crossBetween val="between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Analysis.xlsx]Revenue by Month!PivotTable4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Total Revenue by Month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'Revenue by Month'!$B$4:$B$16</c:f>
              <c:numCache>
                <c:formatCode>[$MMK]\ #,##0.00</c:formatCode>
                <c:ptCount val="12"/>
                <c:pt idx="0">
                  <c:v>82353.490000000093</c:v>
                </c:pt>
                <c:pt idx="1">
                  <c:v>60248.709999999985</c:v>
                </c:pt>
                <c:pt idx="2">
                  <c:v>69285</c:v>
                </c:pt>
                <c:pt idx="3">
                  <c:v>7578.6900000000005</c:v>
                </c:pt>
                <c:pt idx="4">
                  <c:v>12189.230000000001</c:v>
                </c:pt>
                <c:pt idx="5">
                  <c:v>9154.5</c:v>
                </c:pt>
                <c:pt idx="6">
                  <c:v>10953.060000000001</c:v>
                </c:pt>
                <c:pt idx="7">
                  <c:v>12860.740000000003</c:v>
                </c:pt>
                <c:pt idx="8">
                  <c:v>13111.699999999999</c:v>
                </c:pt>
                <c:pt idx="9">
                  <c:v>9395.4300000000021</c:v>
                </c:pt>
                <c:pt idx="10">
                  <c:v>9160.35</c:v>
                </c:pt>
                <c:pt idx="11">
                  <c:v>11296.480000000001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6-E94F-90C4-2552703A8A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35653295"/>
        <c:axId val="655466239"/>
      </c:barChart>
      <c:catAx>
        <c:axId val="2035653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</a:rPr>
                  <a:t>Month</a:t>
                </a:r>
              </a:p>
              <a:p>
                <a:pPr>
                  <a:defRPr sz="1200" b="1">
                    <a:solidFill>
                      <a:schemeClr val="tx1"/>
                    </a:solidFill>
                  </a:defRPr>
                </a:pP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466239"/>
        <c:crosses val="autoZero"/>
        <c:auto val="1"/>
        <c:lblAlgn val="ctr"/>
        <c:lblOffset val="100"/>
        <c:noMultiLvlLbl val="0"/>
      </c:catAx>
      <c:valAx>
        <c:axId val="655466239"/>
        <c:scaling>
          <c:orientation val="minMax"/>
        </c:scaling>
        <c:delete val="1"/>
        <c:axPos val="l"/>
        <c:numFmt formatCode="[$MMK]\ #,##0.00" sourceLinked="1"/>
        <c:majorTickMark val="none"/>
        <c:minorTickMark val="none"/>
        <c:tickLblPos val="nextTo"/>
        <c:crossAx val="20356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Analysis.xlsx]Revenue by Product Line!PivotTable5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 Line'!$B$3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Product Line'!$A$4:$A$10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'Revenue by Product Line'!$B$4:$B$10</c:f>
              <c:numCache>
                <c:formatCode>[$MMK]\ #,##0.00</c:formatCode>
                <c:ptCount val="6"/>
                <c:pt idx="0">
                  <c:v>51750.029999999984</c:v>
                </c:pt>
                <c:pt idx="1">
                  <c:v>51719.899999999972</c:v>
                </c:pt>
                <c:pt idx="2">
                  <c:v>53471.280000000057</c:v>
                </c:pt>
                <c:pt idx="3">
                  <c:v>46851.179999999978</c:v>
                </c:pt>
                <c:pt idx="4">
                  <c:v>51297.059999999983</c:v>
                </c:pt>
                <c:pt idx="5">
                  <c:v>52497.930000000022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7-534E-AF86-8DC2624038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9243983"/>
        <c:axId val="779245695"/>
      </c:barChart>
      <c:catAx>
        <c:axId val="779243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</a:rPr>
                  <a:t>PRODUCT 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45695"/>
        <c:crosses val="autoZero"/>
        <c:auto val="1"/>
        <c:lblAlgn val="ctr"/>
        <c:lblOffset val="100"/>
        <c:noMultiLvlLbl val="0"/>
      </c:catAx>
      <c:valAx>
        <c:axId val="779245695"/>
        <c:scaling>
          <c:orientation val="minMax"/>
          <c:min val="4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MMK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4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Analysis.xlsx]Revenue by Payment!PivotTable6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 Revenue by Payment</a:t>
            </a:r>
          </a:p>
          <a:p>
            <a:pPr>
              <a:defRPr>
                <a:solidFill>
                  <a:schemeClr val="tx1"/>
                </a:solidFill>
              </a:defRPr>
            </a:pP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by Payment'!$B$3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Payment'!$A$4:$A$7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'Revenue by Payment'!$B$4:$B$7</c:f>
              <c:numCache>
                <c:formatCode>[$MMK]\ #,##0.00</c:formatCode>
                <c:ptCount val="3"/>
                <c:pt idx="0">
                  <c:v>106863.40000000005</c:v>
                </c:pt>
                <c:pt idx="1">
                  <c:v>95968.63999999997</c:v>
                </c:pt>
                <c:pt idx="2">
                  <c:v>104755.34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6-7E4C-81A6-5EBC9E6C33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35324463752379"/>
          <c:y val="0.39270632837561975"/>
          <c:w val="0.17085365191420038"/>
          <c:h val="0.3055844942459115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Analysis.xlsx]Revenue by Day!PivotTable8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Revenue by Day</a:t>
            </a:r>
          </a:p>
          <a:p>
            <a:pPr>
              <a:defRPr sz="1800">
                <a:solidFill>
                  <a:schemeClr val="tx1"/>
                </a:solidFill>
              </a:defRPr>
            </a:pPr>
            <a:endParaRPr lang="en-US" sz="18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Day'!$A$4:$A$11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'Revenue by Day'!$B$4:$B$11</c:f>
              <c:numCache>
                <c:formatCode>[$MMK]\ #,##0.00</c:formatCode>
                <c:ptCount val="7"/>
                <c:pt idx="0">
                  <c:v>33292.860000000015</c:v>
                </c:pt>
                <c:pt idx="1">
                  <c:v>52028.780000000013</c:v>
                </c:pt>
                <c:pt idx="2">
                  <c:v>44972.579999999965</c:v>
                </c:pt>
                <c:pt idx="3">
                  <c:v>43102.439999999995</c:v>
                </c:pt>
                <c:pt idx="4">
                  <c:v>42240.829999999994</c:v>
                </c:pt>
                <c:pt idx="5">
                  <c:v>44612.179999999993</c:v>
                </c:pt>
                <c:pt idx="6">
                  <c:v>47337.709999999977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35-6F4F-A61F-F3588996C1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31160656"/>
        <c:axId val="331162368"/>
      </c:barChart>
      <c:catAx>
        <c:axId val="33116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</a:rPr>
                  <a:t>Day</a:t>
                </a:r>
                <a:r>
                  <a:rPr lang="en-GB" sz="1200" b="1" baseline="0">
                    <a:solidFill>
                      <a:schemeClr val="tx1"/>
                    </a:solidFill>
                  </a:rPr>
                  <a:t> of the week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2368"/>
        <c:crosses val="autoZero"/>
        <c:auto val="1"/>
        <c:lblAlgn val="ctr"/>
        <c:lblOffset val="100"/>
        <c:noMultiLvlLbl val="0"/>
      </c:catAx>
      <c:valAx>
        <c:axId val="331162368"/>
        <c:scaling>
          <c:orientation val="minMax"/>
          <c:max val="54000"/>
          <c:min val="32000"/>
        </c:scaling>
        <c:delete val="0"/>
        <c:axPos val="l"/>
        <c:numFmt formatCode="[$MMK]\ 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0656"/>
        <c:crosses val="autoZero"/>
        <c:crossBetween val="between"/>
        <c:majorUnit val="4000"/>
        <c:min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Analysis.xlsx]Revenue by Branch!PivotTable7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Revenue by Branch</a:t>
            </a:r>
          </a:p>
          <a:p>
            <a:pPr>
              <a:defRPr b="1">
                <a:solidFill>
                  <a:schemeClr val="tx1"/>
                </a:solidFill>
              </a:defRPr>
            </a:pP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Branch'!$B$3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Branch'!$A$4:$A$7</c:f>
              <c:strCache>
                <c:ptCount val="3"/>
                <c:pt idx="0">
                  <c:v>Alex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'Revenue by Branch'!$B$4:$B$7</c:f>
              <c:numCache>
                <c:formatCode>[$MMK]\ #,##0.00</c:formatCode>
                <c:ptCount val="3"/>
                <c:pt idx="0">
                  <c:v>101143.21000000006</c:v>
                </c:pt>
                <c:pt idx="1">
                  <c:v>101140.63999999993</c:v>
                </c:pt>
                <c:pt idx="2">
                  <c:v>105303.53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8E-A54E-BFBD-EFC8193D80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79329455"/>
        <c:axId val="779331167"/>
      </c:barChart>
      <c:catAx>
        <c:axId val="77932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1">
                    <a:solidFill>
                      <a:schemeClr val="tx1"/>
                    </a:solidFill>
                  </a:rPr>
                  <a:t>BRANCH</a:t>
                </a:r>
                <a:r>
                  <a:rPr lang="en-GB" sz="1200" b="1" baseline="0">
                    <a:solidFill>
                      <a:schemeClr val="tx1"/>
                    </a:solidFill>
                  </a:rPr>
                  <a:t> NAME</a:t>
                </a:r>
                <a:endParaRPr lang="en-GB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331167"/>
        <c:crosses val="autoZero"/>
        <c:auto val="1"/>
        <c:lblAlgn val="ctr"/>
        <c:lblOffset val="100"/>
        <c:noMultiLvlLbl val="0"/>
      </c:catAx>
      <c:valAx>
        <c:axId val="779331167"/>
        <c:scaling>
          <c:orientation val="minMax"/>
        </c:scaling>
        <c:delete val="1"/>
        <c:axPos val="l"/>
        <c:numFmt formatCode="[$MMK]\ #,##0.00" sourceLinked="1"/>
        <c:majorTickMark val="none"/>
        <c:minorTickMark val="none"/>
        <c:tickLblPos val="nextTo"/>
        <c:crossAx val="77932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4</xdr:row>
      <xdr:rowOff>0</xdr:rowOff>
    </xdr:from>
    <xdr:to>
      <xdr:col>12</xdr:col>
      <xdr:colOff>812800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6C4A6-E4AD-CAA4-E9E0-4FC268B60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3</xdr:row>
      <xdr:rowOff>38100</xdr:rowOff>
    </xdr:from>
    <xdr:to>
      <xdr:col>13</xdr:col>
      <xdr:colOff>12700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AEE95-A903-29B9-3ADF-F74944639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</xdr:row>
      <xdr:rowOff>152400</xdr:rowOff>
    </xdr:from>
    <xdr:to>
      <xdr:col>16</xdr:col>
      <xdr:colOff>546100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CADFA-CB29-18C8-6C6C-8EB7E887A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3</xdr:row>
      <xdr:rowOff>38100</xdr:rowOff>
    </xdr:from>
    <xdr:to>
      <xdr:col>14</xdr:col>
      <xdr:colOff>419100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A7F94-73E6-96EC-759F-13DD5CD5E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2</xdr:row>
      <xdr:rowOff>25400</xdr:rowOff>
    </xdr:from>
    <xdr:to>
      <xdr:col>12</xdr:col>
      <xdr:colOff>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642B8-5431-7FA2-27DA-8C4421095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3</xdr:row>
      <xdr:rowOff>152400</xdr:rowOff>
    </xdr:from>
    <xdr:to>
      <xdr:col>14</xdr:col>
      <xdr:colOff>812800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9BCFB-E6D5-A39C-60EE-92D992060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3</xdr:row>
      <xdr:rowOff>177800</xdr:rowOff>
    </xdr:from>
    <xdr:to>
      <xdr:col>14</xdr:col>
      <xdr:colOff>431800</xdr:colOff>
      <xdr:row>27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5A307-44F8-B70D-1554-AEDA4FE9E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G-Ebrahimoff, Solomon" refreshedDate="46001.466984143517" createdVersion="8" refreshedVersion="8" minRefreshableVersion="3" recordCount="1000" xr:uid="{9DF340DD-DD8B-BE48-A907-3C088CE1274D}">
  <cacheSource type="worksheet">
    <worksheetSource ref="A1:U1001" sheet="SuperMarket Analysis"/>
  </cacheSource>
  <cacheFields count="23">
    <cacheField name="Invoice ID" numFmtId="0">
      <sharedItems/>
    </cacheField>
    <cacheField name="Branch" numFmtId="0">
      <sharedItems count="3">
        <s v="Alex"/>
        <s v="Giza"/>
        <s v="Cairo"/>
      </sharedItems>
    </cacheField>
    <cacheField name="City" numFmtId="0">
      <sharedItems/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 containsSemiMixedTypes="0" containsString="0" containsNumber="1" minValue="0.50849999999999995" maxValue="49.65"/>
    </cacheField>
    <cacheField name="Sales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12-04T00:00:00"/>
    </cacheField>
    <cacheField name="Time" numFmtId="19">
      <sharedItems containsSemiMixedTypes="0" containsNonDate="0" containsDate="1" containsString="0" minDate="1899-12-30T10:00:00" maxDate="1899-12-30T20:59:00" count="506">
        <d v="1899-12-30T13:08:00"/>
        <d v="1899-12-30T10:29:00"/>
        <d v="1899-12-30T13:23:00"/>
        <d v="1899-12-30T20:33:00"/>
        <d v="1899-12-30T10:37:00"/>
        <d v="1899-12-30T18:30:00"/>
        <d v="1899-12-30T14:36:00"/>
        <d v="1899-12-30T11:38:00"/>
        <d v="1899-12-30T17:15:00"/>
        <d v="1899-12-30T13:27:00"/>
        <d v="1899-12-30T18:07:00"/>
        <d v="1899-12-30T17:03:00"/>
        <d v="1899-12-30T10:25:00"/>
        <d v="1899-12-30T16:48:00"/>
        <d v="1899-12-30T19:21:00"/>
        <d v="1899-12-30T16:19:00"/>
        <d v="1899-12-30T11:03:00"/>
        <d v="1899-12-30T10:39:00"/>
        <d v="1899-12-30T18:00:00"/>
        <d v="1899-12-30T15:30:00"/>
        <d v="1899-12-30T11:24:00"/>
        <d v="1899-12-30T10:40:00"/>
        <d v="1899-12-30T12:20:00"/>
        <d v="1899-12-30T11:15:00"/>
        <d v="1899-12-30T17:36:00"/>
        <d v="1899-12-30T19:20:00"/>
        <d v="1899-12-30T15:31:00"/>
        <d v="1899-12-30T12:17:00"/>
        <d v="1899-12-30T19:48:00"/>
        <d v="1899-12-30T15:36:00"/>
        <d v="1899-12-30T19:39:00"/>
        <d v="1899-12-30T12:43:00"/>
        <d v="1899-12-30T14:49:00"/>
        <d v="1899-12-30T10:12:00"/>
        <d v="1899-12-30T10:42:00"/>
        <d v="1899-12-30T12:28:00"/>
        <d v="1899-12-30T19:15:00"/>
        <d v="1899-12-30T17:17:00"/>
        <d v="1899-12-30T13:24:00"/>
        <d v="1899-12-30T13:01:00"/>
        <d v="1899-12-30T18:45:00"/>
        <d v="1899-12-30T10:11:00"/>
        <d v="1899-12-30T13:03:00"/>
        <d v="1899-12-30T20:39:00"/>
        <d v="1899-12-30T19:47:00"/>
        <d v="1899-12-30T17:24:00"/>
        <d v="1899-12-30T15:47:00"/>
        <d v="1899-12-30T12:45:00"/>
        <d v="1899-12-30T17:08:00"/>
        <d v="1899-12-30T10:19:00"/>
        <d v="1899-12-30T15:10:00"/>
        <d v="1899-12-30T14:42:00"/>
        <d v="1899-12-30T15:46:00"/>
        <d v="1899-12-30T11:49:00"/>
        <d v="1899-12-30T19:01:00"/>
        <d v="1899-12-30T11:26:00"/>
        <d v="1899-12-30T11:28:00"/>
        <d v="1899-12-30T15:55:00"/>
        <d v="1899-12-30T20:36:00"/>
        <d v="1899-12-30T17:47:00"/>
        <d v="1899-12-30T10:55:00"/>
        <d v="1899-12-30T13:40:00"/>
        <d v="1899-12-30T12:27:00"/>
        <d v="1899-12-30T14:35:00"/>
        <d v="1899-12-30T16:40:00"/>
        <d v="1899-12-30T15:43:00"/>
        <d v="1899-12-30T15:01:00"/>
        <d v="1899-12-30T10:04:00"/>
        <d v="1899-12-30T18:50:00"/>
        <d v="1899-12-30T12:46:00"/>
        <d v="1899-12-30T18:17:00"/>
        <d v="1899-12-30T18:21:00"/>
        <d v="1899-12-30T17:04:00"/>
        <d v="1899-12-30T14:20:00"/>
        <d v="1899-12-30T15:48:00"/>
        <d v="1899-12-30T16:24:00"/>
        <d v="1899-12-30T18:56:00"/>
        <d v="1899-12-30T19:56:00"/>
        <d v="1899-12-30T18:37:00"/>
        <d v="1899-12-30T10:17:00"/>
        <d v="1899-12-30T14:31:00"/>
        <d v="1899-12-30T10:23:00"/>
        <d v="1899-12-30T20:35:00"/>
        <d v="1899-12-30T16:57:00"/>
        <d v="1899-12-30T17:55:00"/>
        <d v="1899-12-30T19:54:00"/>
        <d v="1899-12-30T16:42:00"/>
        <d v="1899-12-30T12:09:00"/>
        <d v="1899-12-30T20:05:00"/>
        <d v="1899-12-30T20:38:00"/>
        <d v="1899-12-30T13:11:00"/>
        <d v="1899-12-30T10:16:00"/>
        <d v="1899-12-30T18:14:00"/>
        <d v="1899-12-30T13:22:00"/>
        <d v="1899-12-30T11:27:00"/>
        <d v="1899-12-30T16:44:00"/>
        <d v="1899-12-30T18:19:00"/>
        <d v="1899-12-30T14:50:00"/>
        <d v="1899-12-30T20:54:00"/>
        <d v="1899-12-30T20:19:00"/>
        <d v="1899-12-30T10:43:00"/>
        <d v="1899-12-30T14:30:00"/>
        <d v="1899-12-30T11:32:00"/>
        <d v="1899-12-30T10:41:00"/>
        <d v="1899-12-30T12:44:00"/>
        <d v="1899-12-30T20:07:00"/>
        <d v="1899-12-30T20:31:00"/>
        <d v="1899-12-30T12:29:00"/>
        <d v="1899-12-30T15:26:00"/>
        <d v="1899-12-30T20:48:00"/>
        <d v="1899-12-30T12:02:00"/>
        <d v="1899-12-30T17:26:00"/>
        <d v="1899-12-30T19:52:00"/>
        <d v="1899-12-30T14:57:00"/>
        <d v="1899-12-30T18:44:00"/>
        <d v="1899-12-30T13:26:00"/>
        <d v="1899-12-30T16:17:00"/>
        <d v="1899-12-30T15:57:00"/>
        <d v="1899-12-30T13:18:00"/>
        <d v="1899-12-30T20:34:00"/>
        <d v="1899-12-30T18:36:00"/>
        <d v="1899-12-30T14:40:00"/>
        <d v="1899-12-30T16:43:00"/>
        <d v="1899-12-30T20:59:00"/>
        <d v="1899-12-30T15:39:00"/>
        <d v="1899-12-30T12:21:00"/>
        <d v="1899-12-30T19:25:00"/>
        <d v="1899-12-30T13:00:00"/>
        <d v="1899-12-30T13:48:00"/>
        <d v="1899-12-30T19:57:00"/>
        <d v="1899-12-30T10:36:00"/>
        <d v="1899-12-30T16:37:00"/>
        <d v="1899-12-30T17:11:00"/>
        <d v="1899-12-30T15:07:00"/>
        <d v="1899-12-30T16:07:00"/>
        <d v="1899-12-30T11:56:00"/>
        <d v="1899-12-30T18:23:00"/>
        <d v="1899-12-30T13:05:00"/>
        <d v="1899-12-30T19:40:00"/>
        <d v="1899-12-30T13:58:00"/>
        <d v="1899-12-30T14:43:00"/>
        <d v="1899-12-30T19:18:00"/>
        <d v="1899-12-30T16:21:00"/>
        <d v="1899-12-30T19:44:00"/>
        <d v="1899-12-30T19:42:00"/>
        <d v="1899-12-30T15:24:00"/>
        <d v="1899-12-30T14:12:00"/>
        <d v="1899-12-30T13:32:00"/>
        <d v="1899-12-30T16:20:00"/>
        <d v="1899-12-30T16:31:00"/>
        <d v="1899-12-30T11:36:00"/>
        <d v="1899-12-30T19:17:00"/>
        <d v="1899-12-30T17:34:00"/>
        <d v="1899-12-30T12:04:00"/>
        <d v="1899-12-30T17:01:00"/>
        <d v="1899-12-30T10:50:00"/>
        <d v="1899-12-30T19:16:00"/>
        <d v="1899-12-30T16:47:00"/>
        <d v="1899-12-30T10:00:00"/>
        <d v="1899-12-30T11:51:00"/>
        <d v="1899-12-30T15:00:00"/>
        <d v="1899-12-30T11:19:00"/>
        <d v="1899-12-30T19:46:00"/>
        <d v="1899-12-30T19:00:00"/>
        <d v="1899-12-30T10:53:00"/>
        <d v="1899-12-30T12:50:00"/>
        <d v="1899-12-30T20:50:00"/>
        <d v="1899-12-30T13:41:00"/>
        <d v="1899-12-30T19:08:00"/>
        <d v="1899-12-30T20:23:00"/>
        <d v="1899-12-30T11:30:00"/>
        <d v="1899-12-30T19:30:00"/>
        <d v="1899-12-30T18:03:00"/>
        <d v="1899-12-30T10:13:00"/>
        <d v="1899-12-30T19:58:00"/>
        <d v="1899-12-30T10:01:00"/>
        <d v="1899-12-30T11:57:00"/>
        <d v="1899-12-30T10:02:00"/>
        <d v="1899-12-30T14:51:00"/>
        <d v="1899-12-30T12:42:00"/>
        <d v="1899-12-30T17:38:00"/>
        <d v="1899-12-30T20:24:00"/>
        <d v="1899-12-30T18:08:00"/>
        <d v="1899-12-30T15:53:00"/>
        <d v="1899-12-30T15:05:00"/>
        <d v="1899-12-30T18:27:00"/>
        <d v="1899-12-30T16:55:00"/>
        <d v="1899-12-30T12:58:00"/>
        <d v="1899-12-30T18:59:00"/>
        <d v="1899-12-30T13:44:00"/>
        <d v="1899-12-30T13:46:00"/>
        <d v="1899-12-30T18:06:00"/>
        <d v="1899-12-30T12:38:00"/>
        <d v="1899-12-30T15:56:00"/>
        <d v="1899-12-30T14:29:00"/>
        <d v="1899-12-30T19:14:00"/>
        <d v="1899-12-30T10:52:00"/>
        <d v="1899-12-30T12:55:00"/>
        <d v="1899-12-30T19:28:00"/>
        <d v="1899-12-30T13:52:00"/>
        <d v="1899-12-30T10:54:00"/>
        <d v="1899-12-30T18:31:00"/>
        <d v="1899-12-30T18:24:00"/>
        <d v="1899-12-30T18:09:00"/>
        <d v="1899-12-30T15:16:00"/>
        <d v="1899-12-30T17:07:00"/>
        <d v="1899-12-30T19:26:00"/>
        <d v="1899-12-30T11:20:00"/>
        <d v="1899-12-30T16:49:00"/>
        <d v="1899-12-30T12:01:00"/>
        <d v="1899-12-30T11:25:00"/>
        <d v="1899-12-30T18:42:00"/>
        <d v="1899-12-30T14:47:00"/>
        <d v="1899-12-30T19:43:00"/>
        <d v="1899-12-30T14:04:00"/>
        <d v="1899-12-30T16:11:00"/>
        <d v="1899-12-30T19:06:00"/>
        <d v="1899-12-30T15:34:00"/>
        <d v="1899-12-30T11:22:00"/>
        <d v="1899-12-30T11:23:00"/>
        <d v="1899-12-30T10:46:00"/>
        <d v="1899-12-30T13:25:00"/>
        <d v="1899-12-30T14:53:00"/>
        <d v="1899-12-30T19:22:00"/>
        <d v="1899-12-30T11:00:00"/>
        <d v="1899-12-30T19:24:00"/>
        <d v="1899-12-30T17:22:00"/>
        <d v="1899-12-30T20:55:00"/>
        <d v="1899-12-30T16:05:00"/>
        <d v="1899-12-30T13:34:00"/>
        <d v="1899-12-30T18:13:00"/>
        <d v="1899-12-30T11:44:00"/>
        <d v="1899-12-30T15:51:00"/>
        <d v="1899-12-30T16:52:00"/>
        <d v="1899-12-30T20:52:00"/>
        <d v="1899-12-30T16:28:00"/>
        <d v="1899-12-30T13:29:00"/>
        <d v="1899-12-30T11:09:00"/>
        <d v="1899-12-30T15:02:00"/>
        <d v="1899-12-30T14:21:00"/>
        <d v="1899-12-30T18:01:00"/>
        <d v="1899-12-30T13:30:00"/>
        <d v="1899-12-30T14:38:00"/>
        <d v="1899-12-30T17:37:00"/>
        <d v="1899-12-30T17:20:00"/>
        <d v="1899-12-30T20:29:00"/>
        <d v="1899-12-30T11:46:00"/>
        <d v="1899-12-30T13:42:00"/>
        <d v="1899-12-30T14:44:00"/>
        <d v="1899-12-30T14:16:00"/>
        <d v="1899-12-30T15:54:00"/>
        <d v="1899-12-30T10:21:00"/>
        <d v="1899-12-30T16:46:00"/>
        <d v="1899-12-30T20:14:00"/>
        <d v="1899-12-30T17:09:00"/>
        <d v="1899-12-30T17:43:00"/>
        <d v="1899-12-30T19:05:00"/>
        <d v="1899-12-30T10:08:00"/>
        <d v="1899-12-30T13:12:00"/>
        <d v="1899-12-30T20:51:00"/>
        <d v="1899-12-30T17:29:00"/>
        <d v="1899-12-30T11:34:00"/>
        <d v="1899-12-30T18:58:00"/>
        <d v="1899-12-30T20:26:00"/>
        <d v="1899-12-30T15:08:00"/>
        <d v="1899-12-30T13:21:00"/>
        <d v="1899-12-30T12:48:00"/>
        <d v="1899-12-30T19:53:00"/>
        <d v="1899-12-30T19:09:00"/>
        <d v="1899-12-30T16:30:00"/>
        <d v="1899-12-30T13:07:00"/>
        <d v="1899-12-30T18:48:00"/>
        <d v="1899-12-30T17:27:00"/>
        <d v="1899-12-30T15:59:00"/>
        <d v="1899-12-30T11:21:00"/>
        <d v="1899-12-30T15:49:00"/>
        <d v="1899-12-30T13:02:00"/>
        <d v="1899-12-30T20:21:00"/>
        <d v="1899-12-30T15:04:00"/>
        <d v="1899-12-30T16:10:00"/>
        <d v="1899-12-30T12:14:00"/>
        <d v="1899-12-30T11:06:00"/>
        <d v="1899-12-30T18:22:00"/>
        <d v="1899-12-30T19:02:00"/>
        <d v="1899-12-30T15:44:00"/>
        <d v="1899-12-30T20:01:00"/>
        <d v="1899-12-30T13:45:00"/>
        <d v="1899-12-30T15:40:00"/>
        <d v="1899-12-30T16:58:00"/>
        <d v="1899-12-30T11:12:00"/>
        <d v="1899-12-30T15:12:00"/>
        <d v="1899-12-30T20:37:00"/>
        <d v="1899-12-30T17:44:00"/>
        <d v="1899-12-30T16:23:00"/>
        <d v="1899-12-30T12:12:00"/>
        <d v="1899-12-30T19:33:00"/>
        <d v="1899-12-30T14:28:00"/>
        <d v="1899-12-30T17:54:00"/>
        <d v="1899-12-30T12:25:00"/>
        <d v="1899-12-30T12:52:00"/>
        <d v="1899-12-30T19:50:00"/>
        <d v="1899-12-30T15:32:00"/>
        <d v="1899-12-30T13:19:00"/>
        <d v="1899-12-30T13:37:00"/>
        <d v="1899-12-30T14:55:00"/>
        <d v="1899-12-30T12:31:00"/>
        <d v="1899-12-30T10:26:00"/>
        <d v="1899-12-30T20:18:00"/>
        <d v="1899-12-30T20:04:00"/>
        <d v="1899-12-30T13:38:00"/>
        <d v="1899-12-30T17:30:00"/>
        <d v="1899-12-30T15:28:00"/>
        <d v="1899-12-30T19:07:00"/>
        <d v="1899-12-30T18:55:00"/>
        <d v="1899-12-30T19:36:00"/>
        <d v="1899-12-30T10:57:00"/>
        <d v="1899-12-30T17:13:00"/>
        <d v="1899-12-30T13:57:00"/>
        <d v="1899-12-30T13:53:00"/>
        <d v="1899-12-30T16:53:00"/>
        <d v="1899-12-30T16:51:00"/>
        <d v="1899-12-30T15:37:00"/>
        <d v="1899-12-30T20:15:00"/>
        <d v="1899-12-30T19:35:00"/>
        <d v="1899-12-30T15:42:00"/>
        <d v="1899-12-30T14:11:00"/>
        <d v="1899-12-30T17:58:00"/>
        <d v="1899-12-30T11:02:00"/>
        <d v="1899-12-30T15:09:00"/>
        <d v="1899-12-30T13:47:00"/>
        <d v="1899-12-30T16:59:00"/>
        <d v="1899-12-30T14:15:00"/>
        <d v="1899-12-30T15:19:00"/>
        <d v="1899-12-30T18:33:00"/>
        <d v="1899-12-30T12:10:00"/>
        <d v="1899-12-30T11:40:00"/>
        <d v="1899-12-30T16:54:00"/>
        <d v="1899-12-30T15:25:00"/>
        <d v="1899-12-30T20:47:00"/>
        <d v="1899-12-30T18:20:00"/>
        <d v="1899-12-30T11:48:00"/>
        <d v="1899-12-30T14:14:00"/>
        <d v="1899-12-30T11:17:00"/>
        <d v="1899-12-30T12:40:00"/>
        <d v="1899-12-30T17:53:00"/>
        <d v="1899-12-30T16:36:00"/>
        <d v="1899-12-30T10:48:00"/>
        <d v="1899-12-30T18:05:00"/>
        <d v="1899-12-30T12:07:00"/>
        <d v="1899-12-30T19:49:00"/>
        <d v="1899-12-30T15:52:00"/>
        <d v="1899-12-30T20:46:00"/>
        <d v="1899-12-30T10:34:00"/>
        <d v="1899-12-30T13:55:00"/>
        <d v="1899-12-30T11:43:00"/>
        <d v="1899-12-30T16:03:00"/>
        <d v="1899-12-30T20:03:00"/>
        <d v="1899-12-30T19:41:00"/>
        <d v="1899-12-30T18:04:00"/>
        <d v="1899-12-30T10:31:00"/>
        <d v="1899-12-30T13:28:00"/>
        <d v="1899-12-30T17:16:00"/>
        <d v="1899-12-30T18:43:00"/>
        <d v="1899-12-30T10:30:00"/>
        <d v="1899-12-30T20:40:00"/>
        <d v="1899-12-30T12:08:00"/>
        <d v="1899-12-30T17:45:00"/>
        <d v="1899-12-30T10:28:00"/>
        <d v="1899-12-30T10:49:00"/>
        <d v="1899-12-30T12:34:00"/>
        <d v="1899-12-30T18:51:00"/>
        <d v="1899-12-30T19:38:00"/>
        <d v="1899-12-30T12:32:00"/>
        <d v="1899-12-30T10:33:00"/>
        <d v="1899-12-30T19:55:00"/>
        <d v="1899-12-30T14:33:00"/>
        <d v="1899-12-30T13:54:00"/>
        <d v="1899-12-30T12:15:00"/>
        <d v="1899-12-30T12:37:00"/>
        <d v="1899-12-30T15:06:00"/>
        <d v="1899-12-30T15:58:00"/>
        <d v="1899-12-30T14:03:00"/>
        <d v="1899-12-30T16:38:00"/>
        <d v="1899-12-30T11:07:00"/>
        <d v="1899-12-30T12:23:00"/>
        <d v="1899-12-30T14:13:00"/>
        <d v="1899-12-30T19:11:00"/>
        <d v="1899-12-30T18:53:00"/>
        <d v="1899-12-30T14:22:00"/>
        <d v="1899-12-30T10:06:00"/>
        <d v="1899-12-30T20:08:00"/>
        <d v="1899-12-30T12:56:00"/>
        <d v="1899-12-30T10:18:00"/>
        <d v="1899-12-30T11:45:00"/>
        <d v="1899-12-30T16:08:00"/>
        <d v="1899-12-30T12:24:00"/>
        <d v="1899-12-30T19:51:00"/>
        <d v="1899-12-30T18:10:00"/>
        <d v="1899-12-30T15:27:00"/>
        <d v="1899-12-30T16:04:00"/>
        <d v="1899-12-30T14:41:00"/>
        <d v="1899-12-30T14:19:00"/>
        <d v="1899-12-30T14:08:00"/>
        <d v="1899-12-30T11:29:00"/>
        <d v="1899-12-30T12:16:00"/>
        <d v="1899-12-30T20:00:00"/>
        <d v="1899-12-30T15:29:00"/>
        <d v="1899-12-30T14:58:00"/>
        <d v="1899-12-30T11:52:00"/>
        <d v="1899-12-30T17:46:00"/>
        <d v="1899-12-30T14:45:00"/>
        <d v="1899-12-30T11:39:00"/>
        <d v="1899-12-30T13:06:00"/>
        <d v="1899-12-30T20:43:00"/>
        <d v="1899-12-30T16:34:00"/>
        <d v="1899-12-30T13:10:00"/>
        <d v="1899-12-30T17:10:00"/>
        <d v="1899-12-30T10:22:00"/>
        <d v="1899-12-30T19:29:00"/>
        <d v="1899-12-30T14:27:00"/>
        <d v="1899-12-30T12:22:00"/>
        <d v="1899-12-30T11:59:00"/>
        <d v="1899-12-30T17:59:00"/>
        <d v="1899-12-30T12:51:00"/>
        <d v="1899-12-30T13:56:00"/>
        <d v="1899-12-30T19:45:00"/>
        <d v="1899-12-30T16:18:00"/>
        <d v="1899-12-30T18:57:00"/>
        <d v="1899-12-30T11:18:00"/>
        <d v="1899-12-30T14:06:00"/>
        <d v="1899-12-30T20:13:00"/>
        <d v="1899-12-30T15:14:00"/>
        <d v="1899-12-30T16:06:00"/>
        <d v="1899-12-30T12:47:00"/>
        <d v="1899-12-30T20:42:00"/>
        <d v="1899-12-30T20:10:00"/>
        <d v="1899-12-30T14:24:00"/>
        <d v="1899-12-30T11:42:00"/>
        <d v="1899-12-30T17:49:00"/>
        <d v="1899-12-30T15:33:00"/>
        <d v="1899-12-30T10:38:00"/>
        <d v="1899-12-30T12:39:00"/>
        <d v="1899-12-30T14:26:00"/>
        <d v="1899-12-30T12:41:00"/>
        <d v="1899-12-30T15:20:00"/>
        <d v="1899-12-30T16:33:00"/>
        <d v="1899-12-30T20:44:00"/>
        <d v="1899-12-30T11:16:00"/>
        <d v="1899-12-30T12:30:00"/>
        <d v="1899-12-30T17:48:00"/>
        <d v="1899-12-30T20:30:00"/>
        <d v="1899-12-30T13:59:00"/>
        <d v="1899-12-30T11:58:00"/>
        <d v="1899-12-30T16:50:00"/>
        <d v="1899-12-30T18:02:00"/>
        <d v="1899-12-30T17:52:00"/>
        <d v="1899-12-30T20:32:00"/>
        <d v="1899-12-30T16:09:00"/>
        <d v="1899-12-30T11:33:00"/>
        <d v="1899-12-30T15:15:00"/>
        <d v="1899-12-30T20:06:00"/>
        <d v="1899-12-30T16:26:00"/>
        <d v="1899-12-30T18:38:00"/>
        <d v="1899-12-30T16:45:00"/>
        <d v="1899-12-30T18:41:00"/>
        <d v="1899-12-30T17:12:00"/>
        <d v="1899-12-30T14:00:00"/>
        <d v="1899-12-30T16:32:00"/>
        <d v="1899-12-30T10:10:00"/>
        <d v="1899-12-30T10:05:00"/>
        <d v="1899-12-30T18:15:00"/>
        <d v="1899-12-30T11:01:00"/>
        <d v="1899-12-30T15:21:00"/>
        <d v="1899-12-30T16:16:00"/>
        <d v="1899-12-30T11:05:00"/>
        <d v="1899-12-30T19:31:00"/>
        <d v="1899-12-30T18:35:00"/>
        <d v="1899-12-30T13:51:00"/>
        <d v="1899-12-30T12:35:00"/>
        <d v="1899-12-30T11:55:00"/>
        <d v="1899-12-30T15:11:00"/>
        <d v="1899-12-30T14:48:00"/>
        <d v="1899-12-30T12:36:00"/>
        <d v="1899-12-30T13:35:00"/>
        <d v="1899-12-30T15:45:00"/>
        <d v="1899-12-30T14:25:00"/>
        <d v="1899-12-30T15:18:00"/>
        <d v="1899-12-30T10:03:00"/>
        <d v="1899-12-30T13:14:00"/>
        <d v="1899-12-30T16:35:00"/>
        <d v="1899-12-30T20:57:00"/>
        <d v="1899-12-30T13:50:00"/>
        <d v="1899-12-30T17:35:00"/>
        <d v="1899-12-30T17:56:00"/>
        <d v="1899-12-30T10:44:00"/>
        <d v="1899-12-30T10:09:00"/>
        <d v="1899-12-30T10:58:00"/>
        <d v="1899-12-30T13:49:00"/>
        <d v="1899-12-30T11:10:00"/>
        <d v="1899-12-30T13:33:00"/>
        <d v="1899-12-30T14:05:00"/>
        <d v="1899-12-30T16:27:00"/>
        <d v="1899-12-30T15:23:00"/>
        <d v="1899-12-30T18:18:00"/>
        <d v="1899-12-30T15:17:00"/>
        <d v="1899-12-30T19:12:00"/>
      </sharedItems>
      <fieldGroup par="22"/>
    </cacheField>
    <cacheField name="Payment" numFmtId="0">
      <sharedItems count="3">
        <s v="Ewallet"/>
        <s v="Cash"/>
        <s v="Credit card"/>
      </sharedItems>
    </cacheField>
    <cacheField name="cogs" numFmtId="0">
      <sharedItems containsSemiMixedTypes="0" containsString="0" containsNumber="1" minValue="10.17" maxValue="993"/>
    </cacheField>
    <cacheField name="gross margin percentage" numFmtId="0">
      <sharedItems containsSemiMixedTypes="0" containsString="0" containsNumber="1" minValue="4.7619047620000003" maxValue="4.7619047620000003"/>
    </cacheField>
    <cacheField name="gross income" numFmtId="0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Revenue" numFmtId="0">
      <sharedItems containsSemiMixedTypes="0" containsString="0" containsNumber="1" minValue="10.17" maxValue="993"/>
    </cacheField>
    <cacheField name="Month_Name" numFmtId="0">
      <sharedItems count="12">
        <s v="May"/>
        <s v="August"/>
        <s v="March"/>
        <s v="January"/>
        <s v="February"/>
        <s v="October"/>
        <s v="June"/>
        <s v="September"/>
        <s v="December"/>
        <s v="July"/>
        <s v="November"/>
        <s v="April"/>
      </sharedItems>
    </cacheField>
    <cacheField name="Month_No" numFmtId="0">
      <sharedItems containsSemiMixedTypes="0" containsString="0" containsNumber="1" containsInteger="1" minValue="1" maxValue="12"/>
    </cacheField>
    <cacheField name="Day_Name" numFmtId="0">
      <sharedItems count="7">
        <s v="Wednesday"/>
        <s v="Saturday"/>
        <s v="Sunday"/>
        <s v="Friday"/>
        <s v="Monday"/>
        <s v="Tuesday"/>
        <s v="Thursday"/>
      </sharedItems>
    </cacheField>
    <cacheField name="Minutes (Time)" numFmtId="0" databaseField="0">
      <fieldGroup base="11">
        <rangePr groupBy="minutes" startDate="1899-12-30T10:00:00" endDate="1899-12-30T20:59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Time)" numFmtId="0" databaseField="0">
      <fieldGroup base="11">
        <rangePr groupBy="hours" startDate="1899-12-30T10:00:00" endDate="1899-12-30T20:59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x v="0"/>
    <s v="Female"/>
    <x v="0"/>
    <n v="74.69"/>
    <n v="7"/>
    <n v="26.141500000000001"/>
    <n v="548.97149999999999"/>
    <d v="2019-05-01T00:00:00"/>
    <x v="0"/>
    <x v="0"/>
    <n v="522.83000000000004"/>
    <n v="4.7619047620000003"/>
    <n v="26.141500000000001"/>
    <n v="9.1"/>
    <n v="522.82999999999993"/>
    <x v="0"/>
    <n v="5"/>
    <x v="0"/>
  </r>
  <r>
    <s v="226-31-3081"/>
    <x v="1"/>
    <s v="Naypyitaw"/>
    <x v="1"/>
    <s v="Female"/>
    <x v="1"/>
    <n v="15.28"/>
    <n v="5"/>
    <n v="3.82"/>
    <n v="80.22"/>
    <d v="2019-08-03T00:00:00"/>
    <x v="1"/>
    <x v="1"/>
    <n v="76.400000000000006"/>
    <n v="4.7619047620000003"/>
    <n v="3.82"/>
    <n v="9.6"/>
    <n v="76.399999999999991"/>
    <x v="1"/>
    <n v="8"/>
    <x v="1"/>
  </r>
  <r>
    <s v="631-41-3108"/>
    <x v="0"/>
    <s v="Yangon"/>
    <x v="1"/>
    <s v="Female"/>
    <x v="2"/>
    <n v="46.33"/>
    <n v="7"/>
    <n v="16.215499999999999"/>
    <n v="340.52550000000002"/>
    <d v="2019-03-03T00:00:00"/>
    <x v="2"/>
    <x v="2"/>
    <n v="324.31"/>
    <n v="4.7619047620000003"/>
    <n v="16.215499999999999"/>
    <n v="7.4"/>
    <n v="324.31"/>
    <x v="2"/>
    <n v="3"/>
    <x v="2"/>
  </r>
  <r>
    <s v="123-19-1176"/>
    <x v="0"/>
    <s v="Yangon"/>
    <x v="0"/>
    <s v="Female"/>
    <x v="0"/>
    <n v="58.22"/>
    <n v="8"/>
    <n v="23.288"/>
    <n v="489.048"/>
    <d v="2019-01-27T00:00:00"/>
    <x v="3"/>
    <x v="0"/>
    <n v="465.76"/>
    <n v="4.7619047620000003"/>
    <n v="23.288"/>
    <n v="8.4"/>
    <n v="465.76"/>
    <x v="3"/>
    <n v="1"/>
    <x v="2"/>
  </r>
  <r>
    <s v="373-73-7910"/>
    <x v="0"/>
    <s v="Yangon"/>
    <x v="0"/>
    <s v="Female"/>
    <x v="3"/>
    <n v="86.31"/>
    <n v="7"/>
    <n v="30.208500000000001"/>
    <n v="634.37850000000003"/>
    <d v="2019-08-02T00:00:00"/>
    <x v="4"/>
    <x v="0"/>
    <n v="604.16999999999996"/>
    <n v="4.7619047620000003"/>
    <n v="30.208500000000001"/>
    <n v="5.3"/>
    <n v="604.17000000000007"/>
    <x v="1"/>
    <n v="8"/>
    <x v="3"/>
  </r>
  <r>
    <s v="699-14-3026"/>
    <x v="1"/>
    <s v="Naypyitaw"/>
    <x v="0"/>
    <s v="Female"/>
    <x v="1"/>
    <n v="85.39"/>
    <n v="7"/>
    <n v="29.886500000000002"/>
    <n v="627.61649999999997"/>
    <d v="2019-03-25T00:00:00"/>
    <x v="5"/>
    <x v="0"/>
    <n v="597.73"/>
    <n v="4.7619047620000003"/>
    <n v="29.886500000000002"/>
    <n v="4.0999999999999996"/>
    <n v="597.73"/>
    <x v="2"/>
    <n v="3"/>
    <x v="4"/>
  </r>
  <r>
    <s v="355-53-5943"/>
    <x v="0"/>
    <s v="Yangon"/>
    <x v="0"/>
    <s v="Female"/>
    <x v="1"/>
    <n v="68.84"/>
    <n v="6"/>
    <n v="20.652000000000001"/>
    <n v="433.69200000000001"/>
    <d v="2019-02-25T00:00:00"/>
    <x v="6"/>
    <x v="0"/>
    <n v="413.04"/>
    <n v="4.7619047620000003"/>
    <n v="20.652000000000001"/>
    <n v="5.8"/>
    <n v="413.04"/>
    <x v="4"/>
    <n v="2"/>
    <x v="4"/>
  </r>
  <r>
    <s v="315-22-5665"/>
    <x v="1"/>
    <s v="Naypyitaw"/>
    <x v="0"/>
    <s v="Female"/>
    <x v="2"/>
    <n v="73.56"/>
    <n v="10"/>
    <n v="36.78"/>
    <n v="772.38"/>
    <d v="2019-02-24T00:00:00"/>
    <x v="7"/>
    <x v="0"/>
    <n v="735.6"/>
    <n v="4.7619047620000003"/>
    <n v="36.78"/>
    <n v="8"/>
    <n v="735.6"/>
    <x v="4"/>
    <n v="2"/>
    <x v="2"/>
  </r>
  <r>
    <s v="665-32-9167"/>
    <x v="0"/>
    <s v="Yangon"/>
    <x v="0"/>
    <s v="Female"/>
    <x v="0"/>
    <n v="36.26"/>
    <n v="2"/>
    <n v="3.6259999999999999"/>
    <n v="76.146000000000001"/>
    <d v="2019-10-01T00:00:00"/>
    <x v="8"/>
    <x v="2"/>
    <n v="72.52"/>
    <n v="4.7619047620000003"/>
    <n v="3.6259999999999999"/>
    <n v="7.2"/>
    <n v="72.52"/>
    <x v="5"/>
    <n v="10"/>
    <x v="5"/>
  </r>
  <r>
    <s v="692-92-5582"/>
    <x v="2"/>
    <s v="Mandalay"/>
    <x v="0"/>
    <s v="Female"/>
    <x v="4"/>
    <n v="54.84"/>
    <n v="3"/>
    <n v="8.2260000000000009"/>
    <n v="172.74600000000001"/>
    <d v="2019-02-20T00:00:00"/>
    <x v="9"/>
    <x v="2"/>
    <n v="164.52"/>
    <n v="4.7619047620000003"/>
    <n v="8.2260000000000009"/>
    <n v="5.9"/>
    <n v="164.52"/>
    <x v="4"/>
    <n v="2"/>
    <x v="0"/>
  </r>
  <r>
    <s v="351-62-0822"/>
    <x v="2"/>
    <s v="Mandalay"/>
    <x v="0"/>
    <s v="Female"/>
    <x v="5"/>
    <n v="14.48"/>
    <n v="4"/>
    <n v="2.8959999999999999"/>
    <n v="60.816000000000003"/>
    <d v="2019-06-02T00:00:00"/>
    <x v="10"/>
    <x v="0"/>
    <n v="57.92"/>
    <n v="4.7619047620000003"/>
    <n v="2.8959999999999999"/>
    <n v="4.5"/>
    <n v="57.92"/>
    <x v="6"/>
    <n v="6"/>
    <x v="2"/>
  </r>
  <r>
    <s v="529-56-3974"/>
    <x v="2"/>
    <s v="Mandalay"/>
    <x v="0"/>
    <s v="Female"/>
    <x v="1"/>
    <n v="25.51"/>
    <n v="4"/>
    <n v="5.1020000000000003"/>
    <n v="107.142"/>
    <d v="2019-09-03T00:00:00"/>
    <x v="11"/>
    <x v="1"/>
    <n v="102.04"/>
    <n v="4.7619047620000003"/>
    <n v="5.1020000000000003"/>
    <n v="6.8"/>
    <n v="102.04"/>
    <x v="7"/>
    <n v="9"/>
    <x v="5"/>
  </r>
  <r>
    <s v="365-64-0515"/>
    <x v="0"/>
    <s v="Yangon"/>
    <x v="0"/>
    <s v="Female"/>
    <x v="1"/>
    <n v="46.95"/>
    <n v="5"/>
    <n v="11.737500000000001"/>
    <n v="246.48750000000001"/>
    <d v="2019-12-02T00:00:00"/>
    <x v="12"/>
    <x v="0"/>
    <n v="234.75"/>
    <n v="4.7619047620000003"/>
    <n v="11.737500000000001"/>
    <n v="7.1"/>
    <n v="234.75"/>
    <x v="8"/>
    <n v="12"/>
    <x v="4"/>
  </r>
  <r>
    <s v="252-56-2699"/>
    <x v="0"/>
    <s v="Yangon"/>
    <x v="0"/>
    <s v="Female"/>
    <x v="4"/>
    <n v="43.19"/>
    <n v="10"/>
    <n v="21.594999999999999"/>
    <n v="453.495"/>
    <d v="2019-07-02T00:00:00"/>
    <x v="13"/>
    <x v="0"/>
    <n v="431.9"/>
    <n v="4.7619047620000003"/>
    <n v="21.594999999999999"/>
    <n v="8.1999999999999993"/>
    <n v="431.9"/>
    <x v="9"/>
    <n v="7"/>
    <x v="5"/>
  </r>
  <r>
    <s v="829-34-3910"/>
    <x v="0"/>
    <s v="Yangon"/>
    <x v="0"/>
    <s v="Female"/>
    <x v="0"/>
    <n v="71.38"/>
    <n v="10"/>
    <n v="35.69"/>
    <n v="749.49"/>
    <d v="2019-03-29T00:00:00"/>
    <x v="14"/>
    <x v="1"/>
    <n v="713.8"/>
    <n v="4.7619047620000003"/>
    <n v="35.69"/>
    <n v="5.7"/>
    <n v="713.8"/>
    <x v="2"/>
    <n v="3"/>
    <x v="3"/>
  </r>
  <r>
    <s v="299-46-1805"/>
    <x v="2"/>
    <s v="Mandalay"/>
    <x v="0"/>
    <s v="Female"/>
    <x v="3"/>
    <n v="93.72"/>
    <n v="6"/>
    <n v="28.116"/>
    <n v="590.43600000000004"/>
    <d v="2019-01-15T00:00:00"/>
    <x v="15"/>
    <x v="1"/>
    <n v="562.32000000000005"/>
    <n v="4.7619047620000003"/>
    <n v="28.116"/>
    <n v="4.5"/>
    <n v="562.31999999999994"/>
    <x v="3"/>
    <n v="1"/>
    <x v="5"/>
  </r>
  <r>
    <s v="656-95-9349"/>
    <x v="0"/>
    <s v="Yangon"/>
    <x v="0"/>
    <s v="Female"/>
    <x v="0"/>
    <n v="68.930000000000007"/>
    <n v="7"/>
    <n v="24.125499999999999"/>
    <n v="506.63549999999998"/>
    <d v="2019-11-03T00:00:00"/>
    <x v="16"/>
    <x v="2"/>
    <n v="482.51"/>
    <n v="4.7619047620000003"/>
    <n v="24.125499999999999"/>
    <n v="4.5999999999999996"/>
    <n v="482.51000000000005"/>
    <x v="10"/>
    <n v="11"/>
    <x v="2"/>
  </r>
  <r>
    <s v="765-26-6951"/>
    <x v="0"/>
    <s v="Yangon"/>
    <x v="0"/>
    <s v="Female"/>
    <x v="3"/>
    <n v="72.61"/>
    <n v="6"/>
    <n v="21.783000000000001"/>
    <n v="457.44299999999998"/>
    <d v="2019-01-01T00:00:00"/>
    <x v="17"/>
    <x v="2"/>
    <n v="435.66"/>
    <n v="4.7619047620000003"/>
    <n v="21.783000000000001"/>
    <n v="6.9"/>
    <n v="435.65999999999997"/>
    <x v="3"/>
    <n v="1"/>
    <x v="5"/>
  </r>
  <r>
    <s v="329-62-1586"/>
    <x v="0"/>
    <s v="Yangon"/>
    <x v="0"/>
    <s v="Female"/>
    <x v="4"/>
    <n v="54.67"/>
    <n v="3"/>
    <n v="8.2004999999999999"/>
    <n v="172.2105"/>
    <d v="2019-01-21T00:00:00"/>
    <x v="18"/>
    <x v="2"/>
    <n v="164.01"/>
    <n v="4.7619047620000003"/>
    <n v="8.2004999999999999"/>
    <n v="8.6"/>
    <n v="164.01"/>
    <x v="3"/>
    <n v="1"/>
    <x v="4"/>
  </r>
  <r>
    <s v="319-50-3348"/>
    <x v="2"/>
    <s v="Mandalay"/>
    <x v="0"/>
    <s v="Female"/>
    <x v="2"/>
    <n v="40.299999999999997"/>
    <n v="2"/>
    <n v="4.03"/>
    <n v="84.63"/>
    <d v="2019-11-03T00:00:00"/>
    <x v="19"/>
    <x v="0"/>
    <n v="80.599999999999994"/>
    <n v="4.7619047620000003"/>
    <n v="4.03"/>
    <n v="4.4000000000000004"/>
    <n v="80.599999999999994"/>
    <x v="10"/>
    <n v="11"/>
    <x v="2"/>
  </r>
  <r>
    <s v="300-71-4605"/>
    <x v="1"/>
    <s v="Naypyitaw"/>
    <x v="0"/>
    <s v="Female"/>
    <x v="1"/>
    <n v="86.04"/>
    <n v="5"/>
    <n v="21.51"/>
    <n v="451.71"/>
    <d v="2019-02-25T00:00:00"/>
    <x v="20"/>
    <x v="0"/>
    <n v="430.2"/>
    <n v="4.7619047620000003"/>
    <n v="21.51"/>
    <n v="4.8"/>
    <n v="430.20000000000005"/>
    <x v="4"/>
    <n v="2"/>
    <x v="4"/>
  </r>
  <r>
    <s v="371-85-5789"/>
    <x v="2"/>
    <s v="Mandalay"/>
    <x v="0"/>
    <s v="Female"/>
    <x v="0"/>
    <n v="87.98"/>
    <n v="3"/>
    <n v="13.196999999999999"/>
    <n v="277.137"/>
    <d v="2019-05-03T00:00:00"/>
    <x v="21"/>
    <x v="0"/>
    <n v="263.94"/>
    <n v="4.7619047620000003"/>
    <n v="13.196999999999999"/>
    <n v="5.0999999999999996"/>
    <n v="263.94"/>
    <x v="0"/>
    <n v="5"/>
    <x v="3"/>
  </r>
  <r>
    <s v="273-16-6619"/>
    <x v="2"/>
    <s v="Mandalay"/>
    <x v="0"/>
    <s v="Female"/>
    <x v="2"/>
    <n v="33.200000000000003"/>
    <n v="2"/>
    <n v="3.32"/>
    <n v="69.72"/>
    <d v="2019-03-15T00:00:00"/>
    <x v="22"/>
    <x v="2"/>
    <n v="66.400000000000006"/>
    <n v="4.7619047620000003"/>
    <n v="3.32"/>
    <n v="4.4000000000000004"/>
    <n v="66.400000000000006"/>
    <x v="2"/>
    <n v="3"/>
    <x v="3"/>
  </r>
  <r>
    <s v="636-48-8204"/>
    <x v="0"/>
    <s v="Yangon"/>
    <x v="0"/>
    <s v="Female"/>
    <x v="1"/>
    <n v="34.56"/>
    <n v="5"/>
    <n v="8.64"/>
    <n v="181.44"/>
    <d v="2019-02-17T00:00:00"/>
    <x v="23"/>
    <x v="0"/>
    <n v="172.8"/>
    <n v="4.7619047620000003"/>
    <n v="8.64"/>
    <n v="9.9"/>
    <n v="172.8"/>
    <x v="4"/>
    <n v="2"/>
    <x v="2"/>
  </r>
  <r>
    <s v="549-59-1358"/>
    <x v="0"/>
    <s v="Yangon"/>
    <x v="0"/>
    <s v="Female"/>
    <x v="3"/>
    <n v="88.63"/>
    <n v="3"/>
    <n v="13.294499999999999"/>
    <n v="279.18450000000001"/>
    <d v="2019-02-03T00:00:00"/>
    <x v="24"/>
    <x v="0"/>
    <n v="265.89"/>
    <n v="4.7619047620000003"/>
    <n v="13.294499999999999"/>
    <n v="6"/>
    <n v="265.89"/>
    <x v="4"/>
    <n v="2"/>
    <x v="2"/>
  </r>
  <r>
    <s v="227-03-5010"/>
    <x v="0"/>
    <s v="Yangon"/>
    <x v="0"/>
    <s v="Female"/>
    <x v="2"/>
    <n v="52.59"/>
    <n v="8"/>
    <n v="21.036000000000001"/>
    <n v="441.75599999999997"/>
    <d v="2019-03-22T00:00:00"/>
    <x v="25"/>
    <x v="2"/>
    <n v="420.72"/>
    <n v="4.7619047620000003"/>
    <n v="21.036000000000001"/>
    <n v="8.5"/>
    <n v="420.72"/>
    <x v="2"/>
    <n v="3"/>
    <x v="3"/>
  </r>
  <r>
    <s v="649-29-6775"/>
    <x v="2"/>
    <s v="Mandalay"/>
    <x v="0"/>
    <s v="Female"/>
    <x v="5"/>
    <n v="33.520000000000003"/>
    <n v="1"/>
    <n v="1.6759999999999999"/>
    <n v="35.195999999999998"/>
    <d v="2019-08-02T00:00:00"/>
    <x v="26"/>
    <x v="1"/>
    <n v="33.520000000000003"/>
    <n v="4.7619047620000003"/>
    <n v="1.6759999999999999"/>
    <n v="6.7"/>
    <n v="33.520000000000003"/>
    <x v="1"/>
    <n v="8"/>
    <x v="3"/>
  </r>
  <r>
    <s v="189-17-4241"/>
    <x v="0"/>
    <s v="Yangon"/>
    <x v="0"/>
    <s v="Female"/>
    <x v="5"/>
    <n v="87.67"/>
    <n v="2"/>
    <n v="8.7669999999999995"/>
    <n v="184.107"/>
    <d v="2019-10-03T00:00:00"/>
    <x v="27"/>
    <x v="2"/>
    <n v="175.34"/>
    <n v="4.7619047620000003"/>
    <n v="8.7669999999999995"/>
    <n v="7.7"/>
    <n v="175.34"/>
    <x v="5"/>
    <n v="10"/>
    <x v="6"/>
  </r>
  <r>
    <s v="145-94-9061"/>
    <x v="2"/>
    <s v="Mandalay"/>
    <x v="0"/>
    <s v="Female"/>
    <x v="4"/>
    <n v="88.36"/>
    <n v="5"/>
    <n v="22.09"/>
    <n v="463.89"/>
    <d v="2019-01-25T00:00:00"/>
    <x v="28"/>
    <x v="1"/>
    <n v="441.8"/>
    <n v="4.7619047620000003"/>
    <n v="22.09"/>
    <n v="9.6"/>
    <n v="441.8"/>
    <x v="3"/>
    <n v="1"/>
    <x v="3"/>
  </r>
  <r>
    <s v="848-62-7243"/>
    <x v="0"/>
    <s v="Yangon"/>
    <x v="0"/>
    <s v="Female"/>
    <x v="0"/>
    <n v="24.89"/>
    <n v="9"/>
    <n v="11.2005"/>
    <n v="235.2105"/>
    <d v="2019-03-15T00:00:00"/>
    <x v="29"/>
    <x v="1"/>
    <n v="224.01"/>
    <n v="4.7619047620000003"/>
    <n v="11.2005"/>
    <n v="7.4"/>
    <n v="224.01"/>
    <x v="2"/>
    <n v="3"/>
    <x v="3"/>
  </r>
  <r>
    <s v="871-79-8483"/>
    <x v="2"/>
    <s v="Mandalay"/>
    <x v="0"/>
    <s v="Female"/>
    <x v="5"/>
    <n v="94.13"/>
    <n v="5"/>
    <n v="23.532499999999999"/>
    <n v="494.1825"/>
    <d v="2019-02-25T00:00:00"/>
    <x v="30"/>
    <x v="2"/>
    <n v="470.65"/>
    <n v="4.7619047620000003"/>
    <n v="23.532499999999999"/>
    <n v="4.8"/>
    <n v="470.65"/>
    <x v="4"/>
    <n v="2"/>
    <x v="4"/>
  </r>
  <r>
    <s v="149-71-6266"/>
    <x v="2"/>
    <s v="Mandalay"/>
    <x v="0"/>
    <s v="Female"/>
    <x v="3"/>
    <n v="78.069999999999993"/>
    <n v="9"/>
    <n v="35.131500000000003"/>
    <n v="737.76149999999996"/>
    <d v="2019-01-28T00:00:00"/>
    <x v="31"/>
    <x v="1"/>
    <n v="702.63"/>
    <n v="4.7619047620000003"/>
    <n v="35.131500000000003"/>
    <n v="4.5"/>
    <n v="702.62999999999988"/>
    <x v="3"/>
    <n v="1"/>
    <x v="4"/>
  </r>
  <r>
    <s v="640-49-2076"/>
    <x v="2"/>
    <s v="Mandalay"/>
    <x v="0"/>
    <s v="Female"/>
    <x v="3"/>
    <n v="83.78"/>
    <n v="8"/>
    <n v="33.512"/>
    <n v="703.75199999999995"/>
    <d v="2019-10-01T00:00:00"/>
    <x v="32"/>
    <x v="1"/>
    <n v="670.24"/>
    <n v="4.7619047620000003"/>
    <n v="33.512"/>
    <n v="5.0999999999999996"/>
    <n v="670.24"/>
    <x v="5"/>
    <n v="10"/>
    <x v="5"/>
  </r>
  <r>
    <s v="595-11-5460"/>
    <x v="0"/>
    <s v="Yangon"/>
    <x v="0"/>
    <s v="Female"/>
    <x v="0"/>
    <n v="96.58"/>
    <n v="2"/>
    <n v="9.6579999999999995"/>
    <n v="202.81800000000001"/>
    <d v="2019-03-15T00:00:00"/>
    <x v="33"/>
    <x v="2"/>
    <n v="193.16"/>
    <n v="4.7619047620000003"/>
    <n v="9.6579999999999995"/>
    <n v="5.0999999999999996"/>
    <n v="193.16"/>
    <x v="2"/>
    <n v="3"/>
    <x v="3"/>
  </r>
  <r>
    <s v="183-56-6882"/>
    <x v="1"/>
    <s v="Naypyitaw"/>
    <x v="0"/>
    <s v="Female"/>
    <x v="4"/>
    <n v="99.42"/>
    <n v="4"/>
    <n v="19.884"/>
    <n v="417.56400000000002"/>
    <d v="2019-06-02T00:00:00"/>
    <x v="34"/>
    <x v="0"/>
    <n v="397.68"/>
    <n v="4.7619047620000003"/>
    <n v="19.884"/>
    <n v="7.5"/>
    <n v="397.68"/>
    <x v="6"/>
    <n v="6"/>
    <x v="2"/>
  </r>
  <r>
    <s v="232-16-2483"/>
    <x v="1"/>
    <s v="Naypyitaw"/>
    <x v="0"/>
    <s v="Female"/>
    <x v="3"/>
    <n v="68.12"/>
    <n v="1"/>
    <n v="3.4060000000000001"/>
    <n v="71.525999999999996"/>
    <d v="2019-07-01T00:00:00"/>
    <x v="35"/>
    <x v="0"/>
    <n v="68.12"/>
    <n v="4.7619047620000003"/>
    <n v="3.4060000000000001"/>
    <n v="6.8"/>
    <n v="68.12"/>
    <x v="9"/>
    <n v="7"/>
    <x v="4"/>
  </r>
  <r>
    <s v="129-29-8530"/>
    <x v="0"/>
    <s v="Yangon"/>
    <x v="0"/>
    <s v="Female"/>
    <x v="3"/>
    <n v="62.62"/>
    <n v="5"/>
    <n v="15.654999999999999"/>
    <n v="328.755"/>
    <d v="2019-10-03T00:00:00"/>
    <x v="36"/>
    <x v="0"/>
    <n v="313.10000000000002"/>
    <n v="4.7619047620000003"/>
    <n v="15.654999999999999"/>
    <n v="7"/>
    <n v="313.09999999999997"/>
    <x v="5"/>
    <n v="10"/>
    <x v="6"/>
  </r>
  <r>
    <s v="272-65-1806"/>
    <x v="0"/>
    <s v="Yangon"/>
    <x v="0"/>
    <s v="Female"/>
    <x v="1"/>
    <n v="60.88"/>
    <n v="9"/>
    <n v="27.396000000000001"/>
    <n v="575.31600000000003"/>
    <d v="2019-01-15T00:00:00"/>
    <x v="37"/>
    <x v="0"/>
    <n v="547.91999999999996"/>
    <n v="4.7619047620000003"/>
    <n v="27.396000000000001"/>
    <n v="4.7"/>
    <n v="547.92000000000007"/>
    <x v="3"/>
    <n v="1"/>
    <x v="5"/>
  </r>
  <r>
    <s v="333-73-7901"/>
    <x v="1"/>
    <s v="Naypyitaw"/>
    <x v="0"/>
    <s v="Female"/>
    <x v="0"/>
    <n v="54.92"/>
    <n v="8"/>
    <n v="21.968"/>
    <n v="461.32799999999997"/>
    <d v="2019-03-23T00:00:00"/>
    <x v="38"/>
    <x v="0"/>
    <n v="439.36"/>
    <n v="4.7619047620000003"/>
    <n v="21.968"/>
    <n v="7.6"/>
    <n v="439.36"/>
    <x v="2"/>
    <n v="3"/>
    <x v="1"/>
  </r>
  <r>
    <s v="777-82-7220"/>
    <x v="2"/>
    <s v="Mandalay"/>
    <x v="0"/>
    <s v="Female"/>
    <x v="2"/>
    <n v="30.12"/>
    <n v="8"/>
    <n v="12.048"/>
    <n v="253.00800000000001"/>
    <d v="2019-03-03T00:00:00"/>
    <x v="39"/>
    <x v="1"/>
    <n v="240.96"/>
    <n v="4.7619047620000003"/>
    <n v="12.048"/>
    <n v="7.7"/>
    <n v="240.96"/>
    <x v="2"/>
    <n v="3"/>
    <x v="2"/>
  </r>
  <r>
    <s v="280-35-5823"/>
    <x v="2"/>
    <s v="Mandalay"/>
    <x v="0"/>
    <s v="Female"/>
    <x v="2"/>
    <n v="86.72"/>
    <n v="1"/>
    <n v="4.3360000000000003"/>
    <n v="91.055999999999997"/>
    <d v="2019-01-17T00:00:00"/>
    <x v="40"/>
    <x v="0"/>
    <n v="86.72"/>
    <n v="4.7619047620000003"/>
    <n v="4.3360000000000003"/>
    <n v="7.9"/>
    <n v="86.72"/>
    <x v="3"/>
    <n v="1"/>
    <x v="6"/>
  </r>
  <r>
    <s v="554-53-8700"/>
    <x v="1"/>
    <s v="Naypyitaw"/>
    <x v="0"/>
    <s v="Female"/>
    <x v="2"/>
    <n v="56.11"/>
    <n v="2"/>
    <n v="5.6109999999999998"/>
    <n v="117.831"/>
    <d v="2019-02-02T00:00:00"/>
    <x v="41"/>
    <x v="1"/>
    <n v="112.22"/>
    <n v="4.7619047620000003"/>
    <n v="5.6109999999999998"/>
    <n v="6.3"/>
    <n v="112.22"/>
    <x v="4"/>
    <n v="2"/>
    <x v="1"/>
  </r>
  <r>
    <s v="354-25-5821"/>
    <x v="2"/>
    <s v="Mandalay"/>
    <x v="0"/>
    <s v="Female"/>
    <x v="3"/>
    <n v="69.12"/>
    <n v="6"/>
    <n v="20.736000000000001"/>
    <n v="435.45600000000002"/>
    <d v="2019-08-02T00:00:00"/>
    <x v="42"/>
    <x v="1"/>
    <n v="414.72"/>
    <n v="4.7619047620000003"/>
    <n v="20.736000000000001"/>
    <n v="5.6"/>
    <n v="414.72"/>
    <x v="1"/>
    <n v="8"/>
    <x v="3"/>
  </r>
  <r>
    <s v="228-96-1411"/>
    <x v="1"/>
    <s v="Naypyitaw"/>
    <x v="0"/>
    <s v="Female"/>
    <x v="4"/>
    <n v="98.7"/>
    <n v="8"/>
    <n v="39.479999999999997"/>
    <n v="829.08"/>
    <d v="2019-04-03T00:00:00"/>
    <x v="43"/>
    <x v="1"/>
    <n v="789.6"/>
    <n v="4.7619047620000003"/>
    <n v="39.479999999999997"/>
    <n v="7.6"/>
    <n v="789.6"/>
    <x v="11"/>
    <n v="4"/>
    <x v="0"/>
  </r>
  <r>
    <s v="617-15-4209"/>
    <x v="1"/>
    <s v="Naypyitaw"/>
    <x v="0"/>
    <s v="Female"/>
    <x v="0"/>
    <n v="15.37"/>
    <n v="2"/>
    <n v="1.5369999999999999"/>
    <n v="32.277000000000001"/>
    <d v="2019-03-16T00:00:00"/>
    <x v="44"/>
    <x v="1"/>
    <n v="30.74"/>
    <n v="4.7619047620000003"/>
    <n v="1.5369999999999999"/>
    <n v="7.2"/>
    <n v="30.74"/>
    <x v="2"/>
    <n v="3"/>
    <x v="1"/>
  </r>
  <r>
    <s v="132-32-9879"/>
    <x v="2"/>
    <s v="Mandalay"/>
    <x v="0"/>
    <s v="Female"/>
    <x v="1"/>
    <n v="93.96"/>
    <n v="4"/>
    <n v="18.792000000000002"/>
    <n v="394.63200000000001"/>
    <d v="2019-09-03T00:00:00"/>
    <x v="18"/>
    <x v="1"/>
    <n v="375.84"/>
    <n v="4.7619047620000003"/>
    <n v="18.792000000000002"/>
    <n v="9.5"/>
    <n v="375.84"/>
    <x v="7"/>
    <n v="9"/>
    <x v="5"/>
  </r>
  <r>
    <s v="370-41-7321"/>
    <x v="2"/>
    <s v="Mandalay"/>
    <x v="0"/>
    <s v="Female"/>
    <x v="0"/>
    <n v="56.69"/>
    <n v="9"/>
    <n v="25.5105"/>
    <n v="535.72050000000002"/>
    <d v="2019-02-27T00:00:00"/>
    <x v="45"/>
    <x v="2"/>
    <n v="510.21"/>
    <n v="4.7619047620000003"/>
    <n v="25.5105"/>
    <n v="8.4"/>
    <n v="510.21"/>
    <x v="4"/>
    <n v="2"/>
    <x v="0"/>
  </r>
  <r>
    <s v="727-46-3608"/>
    <x v="2"/>
    <s v="Mandalay"/>
    <x v="0"/>
    <s v="Female"/>
    <x v="4"/>
    <n v="20.010000000000002"/>
    <n v="9"/>
    <n v="9.0045000000000002"/>
    <n v="189.09450000000001"/>
    <d v="2019-06-02T00:00:00"/>
    <x v="46"/>
    <x v="0"/>
    <n v="180.09"/>
    <n v="4.7619047620000003"/>
    <n v="9.0045000000000002"/>
    <n v="4.0999999999999996"/>
    <n v="180.09"/>
    <x v="6"/>
    <n v="6"/>
    <x v="2"/>
  </r>
  <r>
    <s v="669-54-1719"/>
    <x v="2"/>
    <s v="Mandalay"/>
    <x v="0"/>
    <s v="Female"/>
    <x v="1"/>
    <n v="18.93"/>
    <n v="6"/>
    <n v="5.6790000000000003"/>
    <n v="119.259"/>
    <d v="2019-10-02T00:00:00"/>
    <x v="47"/>
    <x v="2"/>
    <n v="113.58"/>
    <n v="4.7619047620000003"/>
    <n v="5.6790000000000003"/>
    <n v="8.1"/>
    <n v="113.58"/>
    <x v="5"/>
    <n v="10"/>
    <x v="0"/>
  </r>
  <r>
    <s v="574-22-5561"/>
    <x v="1"/>
    <s v="Naypyitaw"/>
    <x v="0"/>
    <s v="Female"/>
    <x v="5"/>
    <n v="82.63"/>
    <n v="10"/>
    <n v="41.314999999999998"/>
    <n v="867.61500000000001"/>
    <d v="2019-03-19T00:00:00"/>
    <x v="48"/>
    <x v="0"/>
    <n v="826.3"/>
    <n v="4.7619047620000003"/>
    <n v="41.314999999999998"/>
    <n v="7.9"/>
    <n v="826.3"/>
    <x v="2"/>
    <n v="3"/>
    <x v="5"/>
  </r>
  <r>
    <s v="326-78-5178"/>
    <x v="1"/>
    <s v="Naypyitaw"/>
    <x v="0"/>
    <s v="Female"/>
    <x v="4"/>
    <n v="91.4"/>
    <n v="7"/>
    <n v="31.99"/>
    <n v="671.79"/>
    <d v="2019-03-02T00:00:00"/>
    <x v="49"/>
    <x v="1"/>
    <n v="639.79999999999995"/>
    <n v="4.7619047620000003"/>
    <n v="31.99"/>
    <n v="9.5"/>
    <n v="639.80000000000007"/>
    <x v="2"/>
    <n v="3"/>
    <x v="1"/>
  </r>
  <r>
    <s v="162-48-8011"/>
    <x v="0"/>
    <s v="Yangon"/>
    <x v="0"/>
    <s v="Female"/>
    <x v="4"/>
    <n v="44.59"/>
    <n v="5"/>
    <n v="11.147500000000001"/>
    <n v="234.0975"/>
    <d v="2019-10-02T00:00:00"/>
    <x v="50"/>
    <x v="1"/>
    <n v="222.95"/>
    <n v="4.7619047620000003"/>
    <n v="11.147500000000001"/>
    <n v="8.5"/>
    <n v="222.95000000000002"/>
    <x v="5"/>
    <n v="10"/>
    <x v="0"/>
  </r>
  <r>
    <s v="616-24-2851"/>
    <x v="2"/>
    <s v="Mandalay"/>
    <x v="0"/>
    <s v="Female"/>
    <x v="5"/>
    <n v="17.87"/>
    <n v="4"/>
    <n v="3.5739999999999998"/>
    <n v="75.054000000000002"/>
    <d v="2019-03-22T00:00:00"/>
    <x v="51"/>
    <x v="0"/>
    <n v="71.48"/>
    <n v="4.7619047620000003"/>
    <n v="3.5739999999999998"/>
    <n v="6.5"/>
    <n v="71.48"/>
    <x v="2"/>
    <n v="3"/>
    <x v="3"/>
  </r>
  <r>
    <s v="778-71-5554"/>
    <x v="1"/>
    <s v="Naypyitaw"/>
    <x v="0"/>
    <s v="Female"/>
    <x v="5"/>
    <n v="15.43"/>
    <n v="1"/>
    <n v="0.77149999999999996"/>
    <n v="16.201499999999999"/>
    <d v="2019-01-25T00:00:00"/>
    <x v="52"/>
    <x v="2"/>
    <n v="15.43"/>
    <n v="4.7619047620000003"/>
    <n v="0.77149999999999996"/>
    <n v="6.1"/>
    <n v="15.43"/>
    <x v="3"/>
    <n v="1"/>
    <x v="3"/>
  </r>
  <r>
    <s v="242-55-6721"/>
    <x v="2"/>
    <s v="Mandalay"/>
    <x v="0"/>
    <s v="Female"/>
    <x v="2"/>
    <n v="16.16"/>
    <n v="2"/>
    <n v="1.6160000000000001"/>
    <n v="33.936"/>
    <d v="2019-07-03T00:00:00"/>
    <x v="53"/>
    <x v="0"/>
    <n v="32.32"/>
    <n v="4.7619047620000003"/>
    <n v="1.6160000000000001"/>
    <n v="6.5"/>
    <n v="32.32"/>
    <x v="9"/>
    <n v="7"/>
    <x v="0"/>
  </r>
  <r>
    <s v="399-46-5918"/>
    <x v="1"/>
    <s v="Naypyitaw"/>
    <x v="0"/>
    <s v="Female"/>
    <x v="1"/>
    <n v="85.98"/>
    <n v="8"/>
    <n v="34.392000000000003"/>
    <n v="722.23199999999997"/>
    <d v="2019-02-28T00:00:00"/>
    <x v="54"/>
    <x v="1"/>
    <n v="687.84"/>
    <n v="4.7619047620000003"/>
    <n v="34.392000000000003"/>
    <n v="8.1999999999999993"/>
    <n v="687.84"/>
    <x v="4"/>
    <n v="2"/>
    <x v="6"/>
  </r>
  <r>
    <s v="106-35-6779"/>
    <x v="0"/>
    <s v="Yangon"/>
    <x v="0"/>
    <s v="Female"/>
    <x v="2"/>
    <n v="44.34"/>
    <n v="2"/>
    <n v="4.4340000000000002"/>
    <n v="93.114000000000004"/>
    <d v="2019-03-27T00:00:00"/>
    <x v="55"/>
    <x v="1"/>
    <n v="88.68"/>
    <n v="4.7619047620000003"/>
    <n v="4.4340000000000002"/>
    <n v="5.8"/>
    <n v="88.68"/>
    <x v="2"/>
    <n v="3"/>
    <x v="0"/>
  </r>
  <r>
    <s v="635-40-6220"/>
    <x v="0"/>
    <s v="Yangon"/>
    <x v="0"/>
    <s v="Female"/>
    <x v="0"/>
    <n v="89.6"/>
    <n v="8"/>
    <n v="35.840000000000003"/>
    <n v="752.64"/>
    <d v="2019-07-02T00:00:00"/>
    <x v="56"/>
    <x v="0"/>
    <n v="716.8"/>
    <n v="4.7619047620000003"/>
    <n v="35.840000000000003"/>
    <n v="6.6"/>
    <n v="716.8"/>
    <x v="9"/>
    <n v="7"/>
    <x v="5"/>
  </r>
  <r>
    <s v="817-48-8732"/>
    <x v="0"/>
    <s v="Yangon"/>
    <x v="0"/>
    <s v="Female"/>
    <x v="2"/>
    <n v="72.349999999999994"/>
    <n v="10"/>
    <n v="36.174999999999997"/>
    <n v="759.67499999999995"/>
    <d v="2019-01-20T00:00:00"/>
    <x v="57"/>
    <x v="1"/>
    <n v="723.5"/>
    <n v="4.7619047620000003"/>
    <n v="36.174999999999997"/>
    <n v="5.4"/>
    <n v="723.5"/>
    <x v="3"/>
    <n v="1"/>
    <x v="2"/>
  </r>
  <r>
    <s v="120-06-4233"/>
    <x v="1"/>
    <s v="Naypyitaw"/>
    <x v="0"/>
    <s v="Female"/>
    <x v="1"/>
    <n v="30.61"/>
    <n v="6"/>
    <n v="9.1829999999999998"/>
    <n v="192.84299999999999"/>
    <d v="2019-12-03T00:00:00"/>
    <x v="58"/>
    <x v="1"/>
    <n v="183.66"/>
    <n v="4.7619047620000003"/>
    <n v="9.1829999999999998"/>
    <n v="9.3000000000000007"/>
    <n v="183.66"/>
    <x v="8"/>
    <n v="12"/>
    <x v="5"/>
  </r>
  <r>
    <s v="285-68-5083"/>
    <x v="1"/>
    <s v="Naypyitaw"/>
    <x v="0"/>
    <s v="Female"/>
    <x v="3"/>
    <n v="24.74"/>
    <n v="3"/>
    <n v="3.7109999999999999"/>
    <n v="77.930999999999997"/>
    <d v="2019-02-15T00:00:00"/>
    <x v="59"/>
    <x v="2"/>
    <n v="74.22"/>
    <n v="4.7619047620000003"/>
    <n v="3.7109999999999999"/>
    <n v="10"/>
    <n v="74.22"/>
    <x v="4"/>
    <n v="2"/>
    <x v="3"/>
  </r>
  <r>
    <s v="803-83-5989"/>
    <x v="1"/>
    <s v="Naypyitaw"/>
    <x v="0"/>
    <s v="Female"/>
    <x v="2"/>
    <n v="55.73"/>
    <n v="6"/>
    <n v="16.719000000000001"/>
    <n v="351.09899999999999"/>
    <d v="2019-02-24T00:00:00"/>
    <x v="60"/>
    <x v="0"/>
    <n v="334.38"/>
    <n v="4.7619047620000003"/>
    <n v="16.719000000000001"/>
    <n v="7"/>
    <n v="334.38"/>
    <x v="4"/>
    <n v="2"/>
    <x v="2"/>
  </r>
  <r>
    <s v="347-34-2234"/>
    <x v="2"/>
    <s v="Mandalay"/>
    <x v="0"/>
    <s v="Female"/>
    <x v="3"/>
    <n v="55.07"/>
    <n v="9"/>
    <n v="24.781500000000001"/>
    <n v="520.41150000000005"/>
    <d v="2019-03-02T00:00:00"/>
    <x v="61"/>
    <x v="0"/>
    <n v="495.63"/>
    <n v="4.7619047620000003"/>
    <n v="24.781500000000001"/>
    <n v="10"/>
    <n v="495.63"/>
    <x v="2"/>
    <n v="3"/>
    <x v="1"/>
  </r>
  <r>
    <s v="199-75-8169"/>
    <x v="0"/>
    <s v="Yangon"/>
    <x v="0"/>
    <s v="Female"/>
    <x v="3"/>
    <n v="15.81"/>
    <n v="10"/>
    <n v="7.9050000000000002"/>
    <n v="166.005"/>
    <d v="2019-06-03T00:00:00"/>
    <x v="62"/>
    <x v="2"/>
    <n v="158.1"/>
    <n v="4.7619047620000003"/>
    <n v="7.9050000000000002"/>
    <n v="8.6"/>
    <n v="158.1"/>
    <x v="6"/>
    <n v="6"/>
    <x v="4"/>
  </r>
  <r>
    <s v="853-23-2453"/>
    <x v="2"/>
    <s v="Mandalay"/>
    <x v="0"/>
    <s v="Female"/>
    <x v="0"/>
    <n v="75.739999999999995"/>
    <n v="4"/>
    <n v="15.148"/>
    <n v="318.108"/>
    <d v="2019-02-14T00:00:00"/>
    <x v="63"/>
    <x v="1"/>
    <n v="302.95999999999998"/>
    <n v="4.7619047620000003"/>
    <n v="15.148"/>
    <n v="7.6"/>
    <n v="302.95999999999998"/>
    <x v="4"/>
    <n v="2"/>
    <x v="6"/>
  </r>
  <r>
    <s v="877-22-3308"/>
    <x v="0"/>
    <s v="Yangon"/>
    <x v="0"/>
    <s v="Female"/>
    <x v="0"/>
    <n v="15.87"/>
    <n v="10"/>
    <n v="7.9349999999999996"/>
    <n v="166.63499999999999"/>
    <d v="2019-03-13T00:00:00"/>
    <x v="64"/>
    <x v="1"/>
    <n v="158.69999999999999"/>
    <n v="4.7619047620000003"/>
    <n v="7.9349999999999996"/>
    <n v="5.8"/>
    <n v="158.69999999999999"/>
    <x v="2"/>
    <n v="3"/>
    <x v="0"/>
  </r>
  <r>
    <s v="838-78-4295"/>
    <x v="1"/>
    <s v="Naypyitaw"/>
    <x v="0"/>
    <s v="Female"/>
    <x v="0"/>
    <n v="33.47"/>
    <n v="2"/>
    <n v="3.347"/>
    <n v="70.287000000000006"/>
    <d v="2019-10-02T00:00:00"/>
    <x v="65"/>
    <x v="0"/>
    <n v="66.94"/>
    <n v="4.7619047620000003"/>
    <n v="3.347"/>
    <n v="6.7"/>
    <n v="66.94"/>
    <x v="5"/>
    <n v="10"/>
    <x v="0"/>
  </r>
  <r>
    <s v="109-28-2512"/>
    <x v="2"/>
    <s v="Mandalay"/>
    <x v="0"/>
    <s v="Female"/>
    <x v="5"/>
    <n v="97.61"/>
    <n v="6"/>
    <n v="29.283000000000001"/>
    <n v="614.94299999999998"/>
    <d v="2019-07-01T00:00:00"/>
    <x v="66"/>
    <x v="0"/>
    <n v="585.66"/>
    <n v="4.7619047620000003"/>
    <n v="29.283000000000001"/>
    <n v="9.9"/>
    <n v="585.66"/>
    <x v="9"/>
    <n v="7"/>
    <x v="4"/>
  </r>
  <r>
    <s v="232-11-3025"/>
    <x v="0"/>
    <s v="Yangon"/>
    <x v="0"/>
    <s v="Female"/>
    <x v="3"/>
    <n v="78.77"/>
    <n v="10"/>
    <n v="39.384999999999998"/>
    <n v="827.08500000000004"/>
    <d v="2019-01-24T00:00:00"/>
    <x v="67"/>
    <x v="1"/>
    <n v="787.7"/>
    <n v="4.7619047620000003"/>
    <n v="39.384999999999998"/>
    <n v="6.4"/>
    <n v="787.69999999999993"/>
    <x v="3"/>
    <n v="1"/>
    <x v="6"/>
  </r>
  <r>
    <s v="382-03-4532"/>
    <x v="0"/>
    <s v="Yangon"/>
    <x v="0"/>
    <s v="Female"/>
    <x v="0"/>
    <n v="18.329999999999998"/>
    <n v="1"/>
    <n v="0.91649999999999998"/>
    <n v="19.246500000000001"/>
    <d v="2019-02-02T00:00:00"/>
    <x v="68"/>
    <x v="1"/>
    <n v="18.329999999999998"/>
    <n v="4.7619047620000003"/>
    <n v="0.91649999999999998"/>
    <n v="4.3"/>
    <n v="18.329999999999998"/>
    <x v="4"/>
    <n v="2"/>
    <x v="1"/>
  </r>
  <r>
    <s v="393-65-2792"/>
    <x v="1"/>
    <s v="Naypyitaw"/>
    <x v="0"/>
    <s v="Female"/>
    <x v="4"/>
    <n v="89.48"/>
    <n v="10"/>
    <n v="44.74"/>
    <n v="939.54"/>
    <d v="2019-06-01T00:00:00"/>
    <x v="69"/>
    <x v="2"/>
    <n v="894.8"/>
    <n v="4.7619047620000003"/>
    <n v="44.74"/>
    <n v="9.6"/>
    <n v="894.80000000000007"/>
    <x v="6"/>
    <n v="6"/>
    <x v="1"/>
  </r>
  <r>
    <s v="796-12-2025"/>
    <x v="1"/>
    <s v="Naypyitaw"/>
    <x v="0"/>
    <s v="Female"/>
    <x v="5"/>
    <n v="62.12"/>
    <n v="10"/>
    <n v="31.06"/>
    <n v="652.26"/>
    <d v="2019-11-02T00:00:00"/>
    <x v="15"/>
    <x v="1"/>
    <n v="621.20000000000005"/>
    <n v="4.7619047620000003"/>
    <n v="31.06"/>
    <n v="5.9"/>
    <n v="621.19999999999993"/>
    <x v="10"/>
    <n v="11"/>
    <x v="1"/>
  </r>
  <r>
    <s v="510-95-6347"/>
    <x v="2"/>
    <s v="Mandalay"/>
    <x v="0"/>
    <s v="Female"/>
    <x v="4"/>
    <n v="48.52"/>
    <n v="3"/>
    <n v="7.2779999999999996"/>
    <n v="152.83799999999999"/>
    <d v="2019-05-03T00:00:00"/>
    <x v="70"/>
    <x v="0"/>
    <n v="145.56"/>
    <n v="4.7619047620000003"/>
    <n v="7.2779999999999996"/>
    <n v="4"/>
    <n v="145.56"/>
    <x v="0"/>
    <n v="5"/>
    <x v="3"/>
  </r>
  <r>
    <s v="841-35-6630"/>
    <x v="1"/>
    <s v="Naypyitaw"/>
    <x v="0"/>
    <s v="Female"/>
    <x v="1"/>
    <n v="75.91"/>
    <n v="6"/>
    <n v="22.773"/>
    <n v="478.233"/>
    <d v="2019-09-03T00:00:00"/>
    <x v="71"/>
    <x v="1"/>
    <n v="455.46"/>
    <n v="4.7619047620000003"/>
    <n v="22.773"/>
    <n v="8.6999999999999993"/>
    <n v="455.46"/>
    <x v="7"/>
    <n v="9"/>
    <x v="5"/>
  </r>
  <r>
    <s v="287-21-9091"/>
    <x v="0"/>
    <s v="Yangon"/>
    <x v="0"/>
    <s v="Female"/>
    <x v="2"/>
    <n v="74.67"/>
    <n v="9"/>
    <n v="33.601500000000001"/>
    <n v="705.63149999999996"/>
    <d v="2019-01-22T00:00:00"/>
    <x v="60"/>
    <x v="0"/>
    <n v="672.03"/>
    <n v="4.7619047620000003"/>
    <n v="33.601500000000001"/>
    <n v="9.4"/>
    <n v="672.03"/>
    <x v="3"/>
    <n v="1"/>
    <x v="5"/>
  </r>
  <r>
    <s v="732-94-0499"/>
    <x v="1"/>
    <s v="Naypyitaw"/>
    <x v="0"/>
    <s v="Female"/>
    <x v="1"/>
    <n v="41.65"/>
    <n v="10"/>
    <n v="20.824999999999999"/>
    <n v="437.32499999999999"/>
    <d v="2019-01-13T00:00:00"/>
    <x v="72"/>
    <x v="2"/>
    <n v="416.5"/>
    <n v="4.7619047620000003"/>
    <n v="20.824999999999999"/>
    <n v="5.4"/>
    <n v="416.5"/>
    <x v="3"/>
    <n v="1"/>
    <x v="2"/>
  </r>
  <r>
    <s v="263-10-3913"/>
    <x v="1"/>
    <s v="Naypyitaw"/>
    <x v="0"/>
    <s v="Female"/>
    <x v="5"/>
    <n v="49.04"/>
    <n v="9"/>
    <n v="22.068000000000001"/>
    <n v="463.428"/>
    <d v="2019-09-01T00:00:00"/>
    <x v="73"/>
    <x v="2"/>
    <n v="441.36"/>
    <n v="4.7619047620000003"/>
    <n v="22.068000000000001"/>
    <n v="8.6"/>
    <n v="441.36"/>
    <x v="7"/>
    <n v="9"/>
    <x v="2"/>
  </r>
  <r>
    <s v="381-20-0914"/>
    <x v="0"/>
    <s v="Yangon"/>
    <x v="0"/>
    <s v="Female"/>
    <x v="5"/>
    <n v="20.010000000000002"/>
    <n v="9"/>
    <n v="9.0045000000000002"/>
    <n v="189.09450000000001"/>
    <d v="2019-12-01T00:00:00"/>
    <x v="74"/>
    <x v="2"/>
    <n v="180.09"/>
    <n v="4.7619047620000003"/>
    <n v="9.0045000000000002"/>
    <n v="5.7"/>
    <n v="180.09"/>
    <x v="8"/>
    <n v="12"/>
    <x v="2"/>
  </r>
  <r>
    <s v="829-49-1914"/>
    <x v="1"/>
    <s v="Naypyitaw"/>
    <x v="0"/>
    <s v="Female"/>
    <x v="4"/>
    <n v="78.31"/>
    <n v="10"/>
    <n v="39.155000000000001"/>
    <n v="822.255"/>
    <d v="2019-05-03T00:00:00"/>
    <x v="75"/>
    <x v="0"/>
    <n v="783.1"/>
    <n v="4.7619047620000003"/>
    <n v="39.155000000000001"/>
    <n v="6.6"/>
    <n v="783.1"/>
    <x v="0"/>
    <n v="5"/>
    <x v="3"/>
  </r>
  <r>
    <s v="756-01-7507"/>
    <x v="1"/>
    <s v="Naypyitaw"/>
    <x v="0"/>
    <s v="Female"/>
    <x v="0"/>
    <n v="20.38"/>
    <n v="5"/>
    <n v="5.0949999999999998"/>
    <n v="106.995"/>
    <d v="2019-01-22T00:00:00"/>
    <x v="76"/>
    <x v="1"/>
    <n v="101.9"/>
    <n v="4.7619047620000003"/>
    <n v="5.0949999999999998"/>
    <n v="6"/>
    <n v="101.89999999999999"/>
    <x v="3"/>
    <n v="1"/>
    <x v="5"/>
  </r>
  <r>
    <s v="870-72-4431"/>
    <x v="1"/>
    <s v="Naypyitaw"/>
    <x v="0"/>
    <s v="Female"/>
    <x v="0"/>
    <n v="99.19"/>
    <n v="6"/>
    <n v="29.757000000000001"/>
    <n v="624.89700000000005"/>
    <d v="2019-01-21T00:00:00"/>
    <x v="51"/>
    <x v="2"/>
    <n v="595.14"/>
    <n v="4.7619047620000003"/>
    <n v="29.757000000000001"/>
    <n v="5.5"/>
    <n v="595.14"/>
    <x v="3"/>
    <n v="1"/>
    <x v="4"/>
  </r>
  <r>
    <s v="847-38-7188"/>
    <x v="2"/>
    <s v="Mandalay"/>
    <x v="0"/>
    <s v="Female"/>
    <x v="4"/>
    <n v="96.68"/>
    <n v="3"/>
    <n v="14.502000000000001"/>
    <n v="304.54199999999997"/>
    <d v="2019-01-26T00:00:00"/>
    <x v="77"/>
    <x v="0"/>
    <n v="290.04000000000002"/>
    <n v="4.7619047620000003"/>
    <n v="14.502000000000001"/>
    <n v="6.4"/>
    <n v="290.04000000000002"/>
    <x v="3"/>
    <n v="1"/>
    <x v="1"/>
  </r>
  <r>
    <s v="480-63-2856"/>
    <x v="1"/>
    <s v="Naypyitaw"/>
    <x v="0"/>
    <s v="Female"/>
    <x v="4"/>
    <n v="19.25"/>
    <n v="8"/>
    <n v="7.7"/>
    <n v="161.69999999999999"/>
    <d v="2019-01-23T00:00:00"/>
    <x v="78"/>
    <x v="0"/>
    <n v="154"/>
    <n v="4.7619047620000003"/>
    <n v="7.7"/>
    <n v="6.6"/>
    <n v="154"/>
    <x v="3"/>
    <n v="1"/>
    <x v="0"/>
  </r>
  <r>
    <s v="787-56-0757"/>
    <x v="1"/>
    <s v="Naypyitaw"/>
    <x v="0"/>
    <s v="Female"/>
    <x v="4"/>
    <n v="80.36"/>
    <n v="4"/>
    <n v="16.071999999999999"/>
    <n v="337.512"/>
    <d v="2019-02-23T00:00:00"/>
    <x v="40"/>
    <x v="2"/>
    <n v="321.44"/>
    <n v="4.7619047620000003"/>
    <n v="16.071999999999999"/>
    <n v="8.3000000000000007"/>
    <n v="321.44"/>
    <x v="4"/>
    <n v="2"/>
    <x v="1"/>
  </r>
  <r>
    <s v="360-39-5055"/>
    <x v="1"/>
    <s v="Naypyitaw"/>
    <x v="0"/>
    <s v="Female"/>
    <x v="3"/>
    <n v="48.91"/>
    <n v="5"/>
    <n v="12.227499999999999"/>
    <n v="256.77749999999997"/>
    <d v="2019-09-03T00:00:00"/>
    <x v="79"/>
    <x v="1"/>
    <n v="244.55"/>
    <n v="4.7619047620000003"/>
    <n v="12.227499999999999"/>
    <n v="6.6"/>
    <n v="244.54999999999998"/>
    <x v="7"/>
    <n v="9"/>
    <x v="5"/>
  </r>
  <r>
    <s v="730-50-9884"/>
    <x v="1"/>
    <s v="Naypyitaw"/>
    <x v="0"/>
    <s v="Female"/>
    <x v="3"/>
    <n v="83.06"/>
    <n v="7"/>
    <n v="29.071000000000002"/>
    <n v="610.49099999999999"/>
    <d v="2019-05-03T00:00:00"/>
    <x v="80"/>
    <x v="0"/>
    <n v="581.41999999999996"/>
    <n v="4.7619047620000003"/>
    <n v="29.071000000000002"/>
    <n v="4"/>
    <n v="581.42000000000007"/>
    <x v="0"/>
    <n v="5"/>
    <x v="3"/>
  </r>
  <r>
    <s v="362-58-8315"/>
    <x v="1"/>
    <s v="Naypyitaw"/>
    <x v="0"/>
    <s v="Female"/>
    <x v="5"/>
    <n v="76.52"/>
    <n v="5"/>
    <n v="19.13"/>
    <n v="401.73"/>
    <d v="2019-03-25T00:00:00"/>
    <x v="81"/>
    <x v="1"/>
    <n v="382.6"/>
    <n v="4.7619047620000003"/>
    <n v="19.13"/>
    <n v="9.9"/>
    <n v="382.59999999999997"/>
    <x v="2"/>
    <n v="3"/>
    <x v="4"/>
  </r>
  <r>
    <s v="633-44-8566"/>
    <x v="0"/>
    <s v="Yangon"/>
    <x v="0"/>
    <s v="Female"/>
    <x v="4"/>
    <n v="49.38"/>
    <n v="7"/>
    <n v="17.283000000000001"/>
    <n v="362.94299999999998"/>
    <d v="2019-03-27T00:00:00"/>
    <x v="82"/>
    <x v="2"/>
    <n v="345.66"/>
    <n v="4.7619047620000003"/>
    <n v="17.283000000000001"/>
    <n v="7.3"/>
    <n v="345.66"/>
    <x v="2"/>
    <n v="3"/>
    <x v="0"/>
  </r>
  <r>
    <s v="504-35-8843"/>
    <x v="0"/>
    <s v="Yangon"/>
    <x v="0"/>
    <s v="Female"/>
    <x v="3"/>
    <n v="42.47"/>
    <n v="1"/>
    <n v="2.1234999999999999"/>
    <n v="44.593499999999999"/>
    <d v="2019-02-01T00:00:00"/>
    <x v="83"/>
    <x v="1"/>
    <n v="42.47"/>
    <n v="4.7619047620000003"/>
    <n v="2.1234999999999999"/>
    <n v="5.7"/>
    <n v="42.47"/>
    <x v="4"/>
    <n v="2"/>
    <x v="3"/>
  </r>
  <r>
    <s v="318-68-5053"/>
    <x v="2"/>
    <s v="Mandalay"/>
    <x v="0"/>
    <s v="Female"/>
    <x v="0"/>
    <n v="76.989999999999995"/>
    <n v="6"/>
    <n v="23.097000000000001"/>
    <n v="485.03699999999998"/>
    <d v="2019-02-27T00:00:00"/>
    <x v="84"/>
    <x v="1"/>
    <n v="461.94"/>
    <n v="4.7619047620000003"/>
    <n v="23.097000000000001"/>
    <n v="6.1"/>
    <n v="461.93999999999994"/>
    <x v="4"/>
    <n v="2"/>
    <x v="0"/>
  </r>
  <r>
    <s v="565-80-5980"/>
    <x v="1"/>
    <s v="Naypyitaw"/>
    <x v="0"/>
    <s v="Female"/>
    <x v="2"/>
    <n v="47.38"/>
    <n v="4"/>
    <n v="9.4760000000000009"/>
    <n v="198.99600000000001"/>
    <d v="2019-01-23T00:00:00"/>
    <x v="12"/>
    <x v="1"/>
    <n v="189.52"/>
    <n v="4.7619047620000003"/>
    <n v="9.4760000000000009"/>
    <n v="7.1"/>
    <n v="189.52"/>
    <x v="3"/>
    <n v="1"/>
    <x v="0"/>
  </r>
  <r>
    <s v="225-32-0908"/>
    <x v="1"/>
    <s v="Naypyitaw"/>
    <x v="0"/>
    <s v="Female"/>
    <x v="3"/>
    <n v="44.86"/>
    <n v="10"/>
    <n v="22.43"/>
    <n v="471.03"/>
    <d v="2019-01-26T00:00:00"/>
    <x v="85"/>
    <x v="0"/>
    <n v="448.6"/>
    <n v="4.7619047620000003"/>
    <n v="22.43"/>
    <n v="8.1999999999999993"/>
    <n v="448.6"/>
    <x v="3"/>
    <n v="1"/>
    <x v="1"/>
  </r>
  <r>
    <s v="873-51-0671"/>
    <x v="0"/>
    <s v="Yangon"/>
    <x v="0"/>
    <s v="Female"/>
    <x v="3"/>
    <n v="21.98"/>
    <n v="7"/>
    <n v="7.6929999999999996"/>
    <n v="161.553"/>
    <d v="2019-10-01T00:00:00"/>
    <x v="86"/>
    <x v="0"/>
    <n v="153.86000000000001"/>
    <n v="4.7619047620000003"/>
    <n v="7.6929999999999996"/>
    <n v="5.0999999999999996"/>
    <n v="153.86000000000001"/>
    <x v="5"/>
    <n v="10"/>
    <x v="5"/>
  </r>
  <r>
    <s v="152-08-9985"/>
    <x v="2"/>
    <s v="Mandalay"/>
    <x v="0"/>
    <s v="Female"/>
    <x v="0"/>
    <n v="64.36"/>
    <n v="9"/>
    <n v="28.962"/>
    <n v="608.202"/>
    <d v="2019-12-03T00:00:00"/>
    <x v="87"/>
    <x v="2"/>
    <n v="579.24"/>
    <n v="4.7619047620000003"/>
    <n v="28.962"/>
    <n v="8.6"/>
    <n v="579.24"/>
    <x v="8"/>
    <n v="12"/>
    <x v="5"/>
  </r>
  <r>
    <s v="512-91-0811"/>
    <x v="1"/>
    <s v="Naypyitaw"/>
    <x v="0"/>
    <s v="Female"/>
    <x v="0"/>
    <n v="89.75"/>
    <n v="1"/>
    <n v="4.4874999999999998"/>
    <n v="94.237499999999997"/>
    <d v="2019-06-02T00:00:00"/>
    <x v="88"/>
    <x v="2"/>
    <n v="89.75"/>
    <n v="4.7619047620000003"/>
    <n v="4.4874999999999998"/>
    <n v="6.6"/>
    <n v="89.75"/>
    <x v="6"/>
    <n v="6"/>
    <x v="2"/>
  </r>
  <r>
    <s v="594-34-4444"/>
    <x v="0"/>
    <s v="Yangon"/>
    <x v="0"/>
    <s v="Female"/>
    <x v="1"/>
    <n v="97.16"/>
    <n v="1"/>
    <n v="4.8579999999999997"/>
    <n v="102.018"/>
    <d v="2019-08-03T00:00:00"/>
    <x v="89"/>
    <x v="0"/>
    <n v="97.16"/>
    <n v="4.7619047620000003"/>
    <n v="4.8579999999999997"/>
    <n v="7.2"/>
    <n v="97.16"/>
    <x v="1"/>
    <n v="8"/>
    <x v="1"/>
  </r>
  <r>
    <s v="766-85-7061"/>
    <x v="2"/>
    <s v="Mandalay"/>
    <x v="0"/>
    <s v="Female"/>
    <x v="0"/>
    <n v="87.87"/>
    <n v="10"/>
    <n v="43.935000000000002"/>
    <n v="922.63499999999999"/>
    <d v="2019-03-29T00:00:00"/>
    <x v="12"/>
    <x v="0"/>
    <n v="878.7"/>
    <n v="4.7619047620000003"/>
    <n v="43.935000000000002"/>
    <n v="5.0999999999999996"/>
    <n v="878.7"/>
    <x v="2"/>
    <n v="3"/>
    <x v="3"/>
  </r>
  <r>
    <s v="871-39-9221"/>
    <x v="1"/>
    <s v="Naypyitaw"/>
    <x v="0"/>
    <s v="Female"/>
    <x v="1"/>
    <n v="12.45"/>
    <n v="6"/>
    <n v="3.7349999999999999"/>
    <n v="78.435000000000002"/>
    <d v="2019-09-02T00:00:00"/>
    <x v="90"/>
    <x v="1"/>
    <n v="74.7"/>
    <n v="4.7619047620000003"/>
    <n v="3.7349999999999999"/>
    <n v="4.0999999999999996"/>
    <n v="74.699999999999989"/>
    <x v="7"/>
    <n v="9"/>
    <x v="4"/>
  </r>
  <r>
    <s v="865-92-6136"/>
    <x v="0"/>
    <s v="Yangon"/>
    <x v="0"/>
    <s v="Female"/>
    <x v="4"/>
    <n v="52.75"/>
    <n v="3"/>
    <n v="7.9124999999999996"/>
    <n v="166.16249999999999"/>
    <d v="2019-03-23T00:00:00"/>
    <x v="91"/>
    <x v="0"/>
    <n v="158.25"/>
    <n v="4.7619047620000003"/>
    <n v="7.9124999999999996"/>
    <n v="9.3000000000000007"/>
    <n v="158.25"/>
    <x v="2"/>
    <n v="3"/>
    <x v="1"/>
  </r>
  <r>
    <s v="733-01-9107"/>
    <x v="2"/>
    <s v="Mandalay"/>
    <x v="0"/>
    <s v="Female"/>
    <x v="2"/>
    <n v="82.7"/>
    <n v="6"/>
    <n v="24.81"/>
    <n v="521.01"/>
    <d v="2019-05-03T00:00:00"/>
    <x v="92"/>
    <x v="1"/>
    <n v="496.2"/>
    <n v="4.7619047620000003"/>
    <n v="24.81"/>
    <n v="7.4"/>
    <n v="496.20000000000005"/>
    <x v="0"/>
    <n v="5"/>
    <x v="3"/>
  </r>
  <r>
    <s v="163-56-7055"/>
    <x v="1"/>
    <s v="Naypyitaw"/>
    <x v="0"/>
    <s v="Female"/>
    <x v="5"/>
    <n v="48.71"/>
    <n v="1"/>
    <n v="2.4355000000000002"/>
    <n v="51.145499999999998"/>
    <d v="2019-03-26T00:00:00"/>
    <x v="25"/>
    <x v="1"/>
    <n v="48.71"/>
    <n v="4.7619047620000003"/>
    <n v="2.4355000000000002"/>
    <n v="4.0999999999999996"/>
    <n v="48.71"/>
    <x v="2"/>
    <n v="3"/>
    <x v="5"/>
  </r>
  <r>
    <s v="189-98-2939"/>
    <x v="1"/>
    <s v="Naypyitaw"/>
    <x v="0"/>
    <s v="Female"/>
    <x v="5"/>
    <n v="78.55"/>
    <n v="9"/>
    <n v="35.347499999999997"/>
    <n v="742.29750000000001"/>
    <d v="2019-01-03T00:00:00"/>
    <x v="93"/>
    <x v="1"/>
    <n v="706.95"/>
    <n v="4.7619047620000003"/>
    <n v="35.347499999999997"/>
    <n v="7.2"/>
    <n v="706.94999999999993"/>
    <x v="3"/>
    <n v="1"/>
    <x v="6"/>
  </r>
  <r>
    <s v="551-21-3069"/>
    <x v="1"/>
    <s v="Naypyitaw"/>
    <x v="0"/>
    <s v="Female"/>
    <x v="1"/>
    <n v="23.07"/>
    <n v="9"/>
    <n v="10.381500000000001"/>
    <n v="218.01150000000001"/>
    <d v="2019-01-02T00:00:00"/>
    <x v="94"/>
    <x v="1"/>
    <n v="207.63"/>
    <n v="4.7619047620000003"/>
    <n v="10.381500000000001"/>
    <n v="4.9000000000000004"/>
    <n v="207.63"/>
    <x v="3"/>
    <n v="1"/>
    <x v="0"/>
  </r>
  <r>
    <s v="212-62-1842"/>
    <x v="0"/>
    <s v="Yangon"/>
    <x v="0"/>
    <s v="Female"/>
    <x v="4"/>
    <n v="58.26"/>
    <n v="6"/>
    <n v="17.478000000000002"/>
    <n v="367.03800000000001"/>
    <d v="2019-03-28T00:00:00"/>
    <x v="95"/>
    <x v="1"/>
    <n v="349.56"/>
    <n v="4.7619047620000003"/>
    <n v="17.478000000000002"/>
    <n v="9.9"/>
    <n v="349.56"/>
    <x v="2"/>
    <n v="3"/>
    <x v="6"/>
  </r>
  <r>
    <s v="716-39-1409"/>
    <x v="2"/>
    <s v="Mandalay"/>
    <x v="0"/>
    <s v="Female"/>
    <x v="0"/>
    <n v="30.35"/>
    <n v="7"/>
    <n v="10.6225"/>
    <n v="223.07249999999999"/>
    <d v="2019-03-19T00:00:00"/>
    <x v="96"/>
    <x v="1"/>
    <n v="212.45"/>
    <n v="4.7619047620000003"/>
    <n v="10.6225"/>
    <n v="8"/>
    <n v="212.45000000000002"/>
    <x v="2"/>
    <n v="3"/>
    <x v="5"/>
  </r>
  <r>
    <s v="704-48-3927"/>
    <x v="0"/>
    <s v="Yangon"/>
    <x v="0"/>
    <s v="Female"/>
    <x v="1"/>
    <n v="88.67"/>
    <n v="10"/>
    <n v="44.335000000000001"/>
    <n v="931.03499999999997"/>
    <d v="2019-12-01T00:00:00"/>
    <x v="97"/>
    <x v="0"/>
    <n v="886.7"/>
    <n v="4.7619047620000003"/>
    <n v="44.335000000000001"/>
    <n v="7.3"/>
    <n v="886.7"/>
    <x v="8"/>
    <n v="12"/>
    <x v="2"/>
  </r>
  <r>
    <s v="628-34-3388"/>
    <x v="1"/>
    <s v="Naypyitaw"/>
    <x v="0"/>
    <s v="Female"/>
    <x v="5"/>
    <n v="27.38"/>
    <n v="6"/>
    <n v="8.2140000000000004"/>
    <n v="172.494"/>
    <d v="2019-05-01T00:00:00"/>
    <x v="98"/>
    <x v="2"/>
    <n v="164.28"/>
    <n v="4.7619047620000003"/>
    <n v="8.2140000000000004"/>
    <n v="7.9"/>
    <n v="164.28"/>
    <x v="0"/>
    <n v="5"/>
    <x v="0"/>
  </r>
  <r>
    <s v="630-74-5166"/>
    <x v="0"/>
    <s v="Yangon"/>
    <x v="0"/>
    <s v="Female"/>
    <x v="3"/>
    <n v="62.13"/>
    <n v="6"/>
    <n v="18.638999999999999"/>
    <n v="391.41899999999998"/>
    <d v="2019-03-22T00:00:00"/>
    <x v="99"/>
    <x v="1"/>
    <n v="372.78"/>
    <n v="4.7619047620000003"/>
    <n v="18.638999999999999"/>
    <n v="7.4"/>
    <n v="372.78000000000003"/>
    <x v="2"/>
    <n v="3"/>
    <x v="3"/>
  </r>
  <r>
    <s v="588-01-7461"/>
    <x v="1"/>
    <s v="Naypyitaw"/>
    <x v="0"/>
    <s v="Female"/>
    <x v="4"/>
    <n v="33.979999999999997"/>
    <n v="9"/>
    <n v="15.291"/>
    <n v="321.11099999999999"/>
    <d v="2019-03-24T00:00:00"/>
    <x v="100"/>
    <x v="1"/>
    <n v="305.82"/>
    <n v="4.7619047620000003"/>
    <n v="15.291"/>
    <n v="4.2"/>
    <n v="305.82"/>
    <x v="2"/>
    <n v="3"/>
    <x v="2"/>
  </r>
  <r>
    <s v="861-77-0145"/>
    <x v="1"/>
    <s v="Naypyitaw"/>
    <x v="0"/>
    <s v="Female"/>
    <x v="1"/>
    <n v="81.97"/>
    <n v="10"/>
    <n v="40.984999999999999"/>
    <n v="860.68499999999995"/>
    <d v="2019-03-03T00:00:00"/>
    <x v="101"/>
    <x v="1"/>
    <n v="819.7"/>
    <n v="4.7619047620000003"/>
    <n v="40.984999999999999"/>
    <n v="9.1999999999999993"/>
    <n v="819.7"/>
    <x v="2"/>
    <n v="3"/>
    <x v="2"/>
  </r>
  <r>
    <s v="479-26-8945"/>
    <x v="2"/>
    <s v="Mandalay"/>
    <x v="0"/>
    <s v="Female"/>
    <x v="3"/>
    <n v="16.489999999999998"/>
    <n v="2"/>
    <n v="1.649"/>
    <n v="34.628999999999998"/>
    <d v="2019-05-02T00:00:00"/>
    <x v="102"/>
    <x v="0"/>
    <n v="32.979999999999997"/>
    <n v="4.7619047620000003"/>
    <n v="1.649"/>
    <n v="4.5999999999999996"/>
    <n v="32.979999999999997"/>
    <x v="0"/>
    <n v="5"/>
    <x v="6"/>
  </r>
  <r>
    <s v="210-67-5886"/>
    <x v="1"/>
    <s v="Naypyitaw"/>
    <x v="0"/>
    <s v="Female"/>
    <x v="0"/>
    <n v="98.21"/>
    <n v="3"/>
    <n v="14.7315"/>
    <n v="309.36149999999998"/>
    <d v="2019-05-02T00:00:00"/>
    <x v="103"/>
    <x v="2"/>
    <n v="294.63"/>
    <n v="4.7619047620000003"/>
    <n v="14.7315"/>
    <n v="7.8"/>
    <n v="294.63"/>
    <x v="0"/>
    <n v="5"/>
    <x v="6"/>
  </r>
  <r>
    <s v="227-78-1148"/>
    <x v="2"/>
    <s v="Mandalay"/>
    <x v="0"/>
    <s v="Female"/>
    <x v="5"/>
    <n v="72.84"/>
    <n v="7"/>
    <n v="25.494"/>
    <n v="535.37400000000002"/>
    <d v="2019-02-15T00:00:00"/>
    <x v="104"/>
    <x v="1"/>
    <n v="509.88"/>
    <n v="4.7619047620000003"/>
    <n v="25.494"/>
    <n v="8.4"/>
    <n v="509.88"/>
    <x v="4"/>
    <n v="2"/>
    <x v="3"/>
  </r>
  <r>
    <s v="645-44-1170"/>
    <x v="0"/>
    <s v="Yangon"/>
    <x v="0"/>
    <s v="Female"/>
    <x v="2"/>
    <n v="58.07"/>
    <n v="9"/>
    <n v="26.131499999999999"/>
    <n v="548.76149999999996"/>
    <d v="2019-01-19T00:00:00"/>
    <x v="105"/>
    <x v="0"/>
    <n v="522.63"/>
    <n v="4.7619047620000003"/>
    <n v="26.131499999999999"/>
    <n v="4.3"/>
    <n v="522.63"/>
    <x v="3"/>
    <n v="1"/>
    <x v="1"/>
  </r>
  <r>
    <s v="237-01-6122"/>
    <x v="1"/>
    <s v="Naypyitaw"/>
    <x v="0"/>
    <s v="Female"/>
    <x v="2"/>
    <n v="80.790000000000006"/>
    <n v="9"/>
    <n v="36.355499999999999"/>
    <n v="763.46550000000002"/>
    <d v="2019-01-02T00:00:00"/>
    <x v="106"/>
    <x v="2"/>
    <n v="727.11"/>
    <n v="4.7619047620000003"/>
    <n v="36.355499999999999"/>
    <n v="9.5"/>
    <n v="727.11"/>
    <x v="3"/>
    <n v="1"/>
    <x v="0"/>
  </r>
  <r>
    <s v="225-98-1496"/>
    <x v="1"/>
    <s v="Naypyitaw"/>
    <x v="0"/>
    <s v="Female"/>
    <x v="5"/>
    <n v="27.02"/>
    <n v="3"/>
    <n v="4.0529999999999999"/>
    <n v="85.113"/>
    <d v="2019-02-03T00:00:00"/>
    <x v="39"/>
    <x v="2"/>
    <n v="81.06"/>
    <n v="4.7619047620000003"/>
    <n v="4.0529999999999999"/>
    <n v="7.1"/>
    <n v="81.06"/>
    <x v="4"/>
    <n v="2"/>
    <x v="2"/>
  </r>
  <r>
    <s v="291-32-1427"/>
    <x v="2"/>
    <s v="Mandalay"/>
    <x v="0"/>
    <s v="Female"/>
    <x v="5"/>
    <n v="21.94"/>
    <n v="5"/>
    <n v="5.4850000000000003"/>
    <n v="115.185"/>
    <d v="2019-05-03T00:00:00"/>
    <x v="107"/>
    <x v="0"/>
    <n v="109.7"/>
    <n v="4.7619047620000003"/>
    <n v="5.4850000000000003"/>
    <n v="5.3"/>
    <n v="109.7"/>
    <x v="0"/>
    <n v="5"/>
    <x v="3"/>
  </r>
  <r>
    <s v="659-65-8956"/>
    <x v="2"/>
    <s v="Mandalay"/>
    <x v="0"/>
    <s v="Female"/>
    <x v="5"/>
    <n v="51.36"/>
    <n v="1"/>
    <n v="2.5680000000000001"/>
    <n v="53.927999999999997"/>
    <d v="2019-01-16T00:00:00"/>
    <x v="108"/>
    <x v="0"/>
    <n v="51.36"/>
    <n v="4.7619047620000003"/>
    <n v="2.5680000000000001"/>
    <n v="5.2"/>
    <n v="51.36"/>
    <x v="3"/>
    <n v="1"/>
    <x v="0"/>
  </r>
  <r>
    <s v="642-32-2990"/>
    <x v="0"/>
    <s v="Yangon"/>
    <x v="0"/>
    <s v="Female"/>
    <x v="4"/>
    <n v="10.96"/>
    <n v="10"/>
    <n v="5.48"/>
    <n v="115.08"/>
    <d v="2019-02-02T00:00:00"/>
    <x v="109"/>
    <x v="0"/>
    <n v="109.6"/>
    <n v="4.7619047620000003"/>
    <n v="5.48"/>
    <n v="6"/>
    <n v="109.60000000000001"/>
    <x v="4"/>
    <n v="2"/>
    <x v="1"/>
  </r>
  <r>
    <s v="378-24-2715"/>
    <x v="2"/>
    <s v="Mandalay"/>
    <x v="0"/>
    <s v="Female"/>
    <x v="2"/>
    <n v="53.44"/>
    <n v="2"/>
    <n v="5.3440000000000003"/>
    <n v="112.224"/>
    <d v="2019-01-20T00:00:00"/>
    <x v="89"/>
    <x v="0"/>
    <n v="106.88"/>
    <n v="4.7619047620000003"/>
    <n v="5.3440000000000003"/>
    <n v="4.0999999999999996"/>
    <n v="106.88"/>
    <x v="3"/>
    <n v="1"/>
    <x v="2"/>
  </r>
  <r>
    <s v="638-60-7125"/>
    <x v="0"/>
    <s v="Yangon"/>
    <x v="0"/>
    <s v="Female"/>
    <x v="1"/>
    <n v="99.56"/>
    <n v="8"/>
    <n v="39.823999999999998"/>
    <n v="836.30399999999997"/>
    <d v="2019-02-14T00:00:00"/>
    <x v="11"/>
    <x v="2"/>
    <n v="796.48"/>
    <n v="4.7619047620000003"/>
    <n v="39.823999999999998"/>
    <n v="5.2"/>
    <n v="796.48"/>
    <x v="4"/>
    <n v="2"/>
    <x v="6"/>
  </r>
  <r>
    <s v="659-36-1684"/>
    <x v="1"/>
    <s v="Naypyitaw"/>
    <x v="0"/>
    <s v="Female"/>
    <x v="3"/>
    <n v="57.12"/>
    <n v="7"/>
    <n v="19.992000000000001"/>
    <n v="419.83199999999999"/>
    <d v="2019-12-01T00:00:00"/>
    <x v="110"/>
    <x v="2"/>
    <n v="399.84"/>
    <n v="4.7619047620000003"/>
    <n v="19.992000000000001"/>
    <n v="6.5"/>
    <n v="399.84"/>
    <x v="8"/>
    <n v="12"/>
    <x v="2"/>
  </r>
  <r>
    <s v="219-22-9386"/>
    <x v="2"/>
    <s v="Mandalay"/>
    <x v="0"/>
    <s v="Female"/>
    <x v="3"/>
    <n v="99.96"/>
    <n v="9"/>
    <n v="44.981999999999999"/>
    <n v="944.62199999999996"/>
    <d v="2019-09-03T00:00:00"/>
    <x v="111"/>
    <x v="2"/>
    <n v="899.64"/>
    <n v="4.7619047620000003"/>
    <n v="44.981999999999999"/>
    <n v="4.2"/>
    <n v="899.64"/>
    <x v="7"/>
    <n v="9"/>
    <x v="5"/>
  </r>
  <r>
    <s v="336-78-2147"/>
    <x v="1"/>
    <s v="Naypyitaw"/>
    <x v="0"/>
    <s v="Female"/>
    <x v="2"/>
    <n v="63.91"/>
    <n v="8"/>
    <n v="25.564"/>
    <n v="536.84400000000005"/>
    <d v="2019-03-13T00:00:00"/>
    <x v="112"/>
    <x v="2"/>
    <n v="511.28"/>
    <n v="4.7619047620000003"/>
    <n v="25.564"/>
    <n v="4.5999999999999996"/>
    <n v="511.28"/>
    <x v="2"/>
    <n v="3"/>
    <x v="0"/>
  </r>
  <r>
    <s v="268-27-6179"/>
    <x v="2"/>
    <s v="Mandalay"/>
    <x v="0"/>
    <s v="Female"/>
    <x v="5"/>
    <n v="56.47"/>
    <n v="8"/>
    <n v="22.588000000000001"/>
    <n v="474.34800000000001"/>
    <d v="2019-09-03T00:00:00"/>
    <x v="113"/>
    <x v="0"/>
    <n v="451.76"/>
    <n v="4.7619047620000003"/>
    <n v="22.588000000000001"/>
    <n v="7.3"/>
    <n v="451.76"/>
    <x v="7"/>
    <n v="9"/>
    <x v="5"/>
  </r>
  <r>
    <s v="668-90-8900"/>
    <x v="0"/>
    <s v="Yangon"/>
    <x v="0"/>
    <s v="Female"/>
    <x v="2"/>
    <n v="93.69"/>
    <n v="7"/>
    <n v="32.791499999999999"/>
    <n v="688.62149999999997"/>
    <d v="2019-10-03T00:00:00"/>
    <x v="114"/>
    <x v="2"/>
    <n v="655.83"/>
    <n v="4.7619047620000003"/>
    <n v="32.791499999999999"/>
    <n v="4.5"/>
    <n v="655.82999999999993"/>
    <x v="5"/>
    <n v="10"/>
    <x v="6"/>
  </r>
  <r>
    <s v="870-54-3162"/>
    <x v="0"/>
    <s v="Yangon"/>
    <x v="0"/>
    <s v="Female"/>
    <x v="3"/>
    <n v="32.25"/>
    <n v="5"/>
    <n v="8.0625"/>
    <n v="169.3125"/>
    <d v="2019-01-27T00:00:00"/>
    <x v="115"/>
    <x v="1"/>
    <n v="161.25"/>
    <n v="4.7619047620000003"/>
    <n v="8.0625"/>
    <n v="9"/>
    <n v="161.25"/>
    <x v="3"/>
    <n v="1"/>
    <x v="2"/>
  </r>
  <r>
    <s v="189-08-9157"/>
    <x v="1"/>
    <s v="Naypyitaw"/>
    <x v="0"/>
    <s v="Female"/>
    <x v="5"/>
    <n v="31.73"/>
    <n v="9"/>
    <n v="14.278499999999999"/>
    <n v="299.8485"/>
    <d v="2019-08-01T00:00:00"/>
    <x v="116"/>
    <x v="2"/>
    <n v="285.57"/>
    <n v="4.7619047620000003"/>
    <n v="14.278499999999999"/>
    <n v="5.9"/>
    <n v="285.57"/>
    <x v="1"/>
    <n v="8"/>
    <x v="6"/>
  </r>
  <r>
    <s v="663-86-9076"/>
    <x v="1"/>
    <s v="Naypyitaw"/>
    <x v="0"/>
    <s v="Female"/>
    <x v="4"/>
    <n v="68.540000000000006"/>
    <n v="8"/>
    <n v="27.416"/>
    <n v="575.73599999999999"/>
    <d v="2019-08-01T00:00:00"/>
    <x v="117"/>
    <x v="0"/>
    <n v="548.32000000000005"/>
    <n v="4.7619047620000003"/>
    <n v="27.416"/>
    <n v="8.5"/>
    <n v="548.32000000000005"/>
    <x v="1"/>
    <n v="8"/>
    <x v="6"/>
  </r>
  <r>
    <s v="549-84-7482"/>
    <x v="2"/>
    <s v="Mandalay"/>
    <x v="0"/>
    <s v="Female"/>
    <x v="3"/>
    <n v="90.28"/>
    <n v="9"/>
    <n v="40.625999999999998"/>
    <n v="853.14599999999996"/>
    <d v="2019-08-02T00:00:00"/>
    <x v="23"/>
    <x v="0"/>
    <n v="812.52"/>
    <n v="4.7619047620000003"/>
    <n v="40.625999999999998"/>
    <n v="7.2"/>
    <n v="812.52"/>
    <x v="1"/>
    <n v="8"/>
    <x v="3"/>
  </r>
  <r>
    <s v="191-10-6171"/>
    <x v="2"/>
    <s v="Mandalay"/>
    <x v="1"/>
    <s v="Female"/>
    <x v="5"/>
    <n v="39.619999999999997"/>
    <n v="7"/>
    <n v="13.867000000000001"/>
    <n v="291.20699999999999"/>
    <d v="2019-01-25T00:00:00"/>
    <x v="118"/>
    <x v="1"/>
    <n v="277.33999999999997"/>
    <n v="4.7619047620000003"/>
    <n v="13.867000000000001"/>
    <n v="7.5"/>
    <n v="277.33999999999997"/>
    <x v="3"/>
    <n v="1"/>
    <x v="3"/>
  </r>
  <r>
    <s v="802-70-5316"/>
    <x v="0"/>
    <s v="Yangon"/>
    <x v="0"/>
    <s v="Female"/>
    <x v="3"/>
    <n v="92.13"/>
    <n v="6"/>
    <n v="27.638999999999999"/>
    <n v="580.41899999999998"/>
    <d v="2019-06-03T00:00:00"/>
    <x v="119"/>
    <x v="1"/>
    <n v="552.78"/>
    <n v="4.7619047620000003"/>
    <n v="27.638999999999999"/>
    <n v="8.3000000000000007"/>
    <n v="552.78"/>
    <x v="6"/>
    <n v="6"/>
    <x v="4"/>
  </r>
  <r>
    <s v="695-51-0018"/>
    <x v="2"/>
    <s v="Mandalay"/>
    <x v="1"/>
    <s v="Female"/>
    <x v="3"/>
    <n v="34.840000000000003"/>
    <n v="4"/>
    <n v="6.968"/>
    <n v="146.328"/>
    <d v="2019-10-02T00:00:00"/>
    <x v="120"/>
    <x v="1"/>
    <n v="139.36000000000001"/>
    <n v="4.7619047620000003"/>
    <n v="6.968"/>
    <n v="7.4"/>
    <n v="139.36000000000001"/>
    <x v="5"/>
    <n v="10"/>
    <x v="0"/>
  </r>
  <r>
    <s v="590-83-4591"/>
    <x v="2"/>
    <s v="Mandalay"/>
    <x v="0"/>
    <s v="Female"/>
    <x v="1"/>
    <n v="87.45"/>
    <n v="6"/>
    <n v="26.234999999999999"/>
    <n v="550.93499999999995"/>
    <d v="2019-02-17T00:00:00"/>
    <x v="121"/>
    <x v="2"/>
    <n v="524.70000000000005"/>
    <n v="4.7619047620000003"/>
    <n v="26.234999999999999"/>
    <n v="8.8000000000000007"/>
    <n v="524.70000000000005"/>
    <x v="4"/>
    <n v="2"/>
    <x v="2"/>
  </r>
  <r>
    <s v="483-71-1164"/>
    <x v="1"/>
    <s v="Naypyitaw"/>
    <x v="1"/>
    <s v="Female"/>
    <x v="0"/>
    <n v="81.3"/>
    <n v="6"/>
    <n v="24.39"/>
    <n v="512.19000000000005"/>
    <d v="2019-08-03T00:00:00"/>
    <x v="122"/>
    <x v="0"/>
    <n v="487.8"/>
    <n v="4.7619047620000003"/>
    <n v="24.39"/>
    <n v="5.3"/>
    <n v="487.79999999999995"/>
    <x v="1"/>
    <n v="8"/>
    <x v="1"/>
  </r>
  <r>
    <s v="597-78-7908"/>
    <x v="1"/>
    <s v="Naypyitaw"/>
    <x v="1"/>
    <s v="Female"/>
    <x v="5"/>
    <n v="90.22"/>
    <n v="3"/>
    <n v="13.532999999999999"/>
    <n v="284.19299999999998"/>
    <d v="2019-02-18T00:00:00"/>
    <x v="30"/>
    <x v="1"/>
    <n v="270.66000000000003"/>
    <n v="4.7619047620000003"/>
    <n v="13.532999999999999"/>
    <n v="6.2"/>
    <n v="270.65999999999997"/>
    <x v="4"/>
    <n v="2"/>
    <x v="4"/>
  </r>
  <r>
    <s v="700-81-1757"/>
    <x v="0"/>
    <s v="Yangon"/>
    <x v="1"/>
    <s v="Female"/>
    <x v="1"/>
    <n v="26.31"/>
    <n v="5"/>
    <n v="6.5774999999999997"/>
    <n v="138.1275"/>
    <d v="2019-01-18T00:00:00"/>
    <x v="123"/>
    <x v="2"/>
    <n v="131.55000000000001"/>
    <n v="4.7619047620000003"/>
    <n v="6.5774999999999997"/>
    <n v="8.8000000000000007"/>
    <n v="131.54999999999998"/>
    <x v="3"/>
    <n v="1"/>
    <x v="3"/>
  </r>
  <r>
    <s v="354-39-5160"/>
    <x v="0"/>
    <s v="Yangon"/>
    <x v="0"/>
    <s v="Female"/>
    <x v="2"/>
    <n v="34.42"/>
    <n v="6"/>
    <n v="10.326000000000001"/>
    <n v="216.846"/>
    <d v="2019-02-18T00:00:00"/>
    <x v="124"/>
    <x v="1"/>
    <n v="206.52"/>
    <n v="4.7619047620000003"/>
    <n v="10.326000000000001"/>
    <n v="9.8000000000000007"/>
    <n v="206.52"/>
    <x v="4"/>
    <n v="2"/>
    <x v="4"/>
  </r>
  <r>
    <s v="241-72-9525"/>
    <x v="2"/>
    <s v="Mandalay"/>
    <x v="1"/>
    <s v="Female"/>
    <x v="3"/>
    <n v="51.91"/>
    <n v="10"/>
    <n v="25.954999999999998"/>
    <n v="545.05499999999995"/>
    <d v="2019-02-16T00:00:00"/>
    <x v="125"/>
    <x v="1"/>
    <n v="519.1"/>
    <n v="4.7619047620000003"/>
    <n v="25.954999999999998"/>
    <n v="8.1999999999999993"/>
    <n v="519.09999999999991"/>
    <x v="4"/>
    <n v="2"/>
    <x v="1"/>
  </r>
  <r>
    <s v="575-30-8091"/>
    <x v="0"/>
    <s v="Yangon"/>
    <x v="1"/>
    <s v="Female"/>
    <x v="3"/>
    <n v="72.5"/>
    <n v="8"/>
    <n v="29"/>
    <n v="609"/>
    <d v="2019-03-16T00:00:00"/>
    <x v="126"/>
    <x v="0"/>
    <n v="580"/>
    <n v="4.7619047620000003"/>
    <n v="29"/>
    <n v="9.1999999999999993"/>
    <n v="580"/>
    <x v="2"/>
    <n v="3"/>
    <x v="1"/>
  </r>
  <r>
    <s v="731-81-9469"/>
    <x v="1"/>
    <s v="Naypyitaw"/>
    <x v="0"/>
    <s v="Female"/>
    <x v="3"/>
    <n v="89.8"/>
    <n v="10"/>
    <n v="44.9"/>
    <n v="942.9"/>
    <d v="2019-01-23T00:00:00"/>
    <x v="127"/>
    <x v="2"/>
    <n v="898"/>
    <n v="4.7619047620000003"/>
    <n v="44.9"/>
    <n v="5.4"/>
    <n v="898"/>
    <x v="3"/>
    <n v="1"/>
    <x v="0"/>
  </r>
  <r>
    <s v="280-17-4359"/>
    <x v="1"/>
    <s v="Naypyitaw"/>
    <x v="0"/>
    <s v="Male"/>
    <x v="0"/>
    <n v="90.5"/>
    <n v="10"/>
    <n v="45.25"/>
    <n v="950.25"/>
    <d v="2019-01-25T00:00:00"/>
    <x v="128"/>
    <x v="1"/>
    <n v="905"/>
    <n v="4.7619047620000003"/>
    <n v="45.25"/>
    <n v="8.1"/>
    <n v="905"/>
    <x v="3"/>
    <n v="1"/>
    <x v="3"/>
  </r>
  <r>
    <s v="338-65-2210"/>
    <x v="1"/>
    <s v="Naypyitaw"/>
    <x v="0"/>
    <s v="Female"/>
    <x v="0"/>
    <n v="68.599999999999994"/>
    <n v="10"/>
    <n v="34.299999999999997"/>
    <n v="720.3"/>
    <d v="2019-05-02T00:00:00"/>
    <x v="129"/>
    <x v="1"/>
    <n v="686"/>
    <n v="4.7619047620000003"/>
    <n v="34.299999999999997"/>
    <n v="9.1"/>
    <n v="686"/>
    <x v="0"/>
    <n v="5"/>
    <x v="6"/>
  </r>
  <r>
    <s v="488-25-4221"/>
    <x v="1"/>
    <s v="Naypyitaw"/>
    <x v="0"/>
    <s v="Female"/>
    <x v="4"/>
    <n v="30.41"/>
    <n v="1"/>
    <n v="1.5205"/>
    <n v="31.930499999999999"/>
    <d v="2019-02-22T00:00:00"/>
    <x v="130"/>
    <x v="2"/>
    <n v="30.41"/>
    <n v="4.7619047620000003"/>
    <n v="1.5205"/>
    <n v="8.4"/>
    <n v="30.41"/>
    <x v="4"/>
    <n v="2"/>
    <x v="3"/>
  </r>
  <r>
    <s v="239-10-7476"/>
    <x v="0"/>
    <s v="Yangon"/>
    <x v="1"/>
    <s v="Female"/>
    <x v="2"/>
    <n v="77.95"/>
    <n v="6"/>
    <n v="23.385000000000002"/>
    <n v="491.08499999999998"/>
    <d v="2019-01-21T00:00:00"/>
    <x v="131"/>
    <x v="0"/>
    <n v="467.7"/>
    <n v="4.7619047620000003"/>
    <n v="23.385000000000002"/>
    <n v="8"/>
    <n v="467.70000000000005"/>
    <x v="3"/>
    <n v="1"/>
    <x v="4"/>
  </r>
  <r>
    <s v="458-41-1477"/>
    <x v="1"/>
    <s v="Naypyitaw"/>
    <x v="1"/>
    <s v="Female"/>
    <x v="0"/>
    <n v="46.26"/>
    <n v="6"/>
    <n v="13.878"/>
    <n v="291.43799999999999"/>
    <d v="2019-08-03T00:00:00"/>
    <x v="132"/>
    <x v="2"/>
    <n v="277.56"/>
    <n v="4.7619047620000003"/>
    <n v="13.878"/>
    <n v="9.5"/>
    <n v="277.56"/>
    <x v="1"/>
    <n v="8"/>
    <x v="1"/>
  </r>
  <r>
    <s v="685-64-1609"/>
    <x v="0"/>
    <s v="Yangon"/>
    <x v="0"/>
    <s v="Female"/>
    <x v="5"/>
    <n v="30.14"/>
    <n v="10"/>
    <n v="15.07"/>
    <n v="316.47000000000003"/>
    <d v="2019-10-02T00:00:00"/>
    <x v="35"/>
    <x v="0"/>
    <n v="301.39999999999998"/>
    <n v="4.7619047620000003"/>
    <n v="15.07"/>
    <n v="9.1999999999999993"/>
    <n v="301.39999999999998"/>
    <x v="5"/>
    <n v="10"/>
    <x v="0"/>
  </r>
  <r>
    <s v="568-90-5112"/>
    <x v="1"/>
    <s v="Naypyitaw"/>
    <x v="1"/>
    <s v="Male"/>
    <x v="0"/>
    <n v="66.14"/>
    <n v="4"/>
    <n v="13.228"/>
    <n v="277.78800000000001"/>
    <d v="2019-03-19T00:00:00"/>
    <x v="69"/>
    <x v="2"/>
    <n v="264.56"/>
    <n v="4.7619047620000003"/>
    <n v="13.228"/>
    <n v="5.6"/>
    <n v="264.56"/>
    <x v="2"/>
    <n v="3"/>
    <x v="5"/>
  </r>
  <r>
    <s v="262-47-2794"/>
    <x v="2"/>
    <s v="Mandalay"/>
    <x v="0"/>
    <s v="Male"/>
    <x v="2"/>
    <n v="71.86"/>
    <n v="8"/>
    <n v="28.744"/>
    <n v="603.62400000000002"/>
    <d v="2019-06-03T00:00:00"/>
    <x v="133"/>
    <x v="2"/>
    <n v="574.88"/>
    <n v="4.7619047620000003"/>
    <n v="28.744"/>
    <n v="6.2"/>
    <n v="574.88"/>
    <x v="6"/>
    <n v="6"/>
    <x v="4"/>
  </r>
  <r>
    <s v="238-49-0436"/>
    <x v="0"/>
    <s v="Yangon"/>
    <x v="1"/>
    <s v="Male"/>
    <x v="0"/>
    <n v="32.46"/>
    <n v="8"/>
    <n v="12.984"/>
    <n v="272.66399999999999"/>
    <d v="2019-03-27T00:00:00"/>
    <x v="128"/>
    <x v="2"/>
    <n v="259.68"/>
    <n v="4.7619047620000003"/>
    <n v="12.984"/>
    <n v="4.9000000000000004"/>
    <n v="259.68"/>
    <x v="2"/>
    <n v="3"/>
    <x v="0"/>
  </r>
  <r>
    <s v="608-96-3517"/>
    <x v="2"/>
    <s v="Mandalay"/>
    <x v="0"/>
    <s v="Female"/>
    <x v="5"/>
    <n v="91.54"/>
    <n v="4"/>
    <n v="18.308"/>
    <n v="384.46800000000002"/>
    <d v="2019-03-23T00:00:00"/>
    <x v="25"/>
    <x v="2"/>
    <n v="366.16"/>
    <n v="4.7619047620000003"/>
    <n v="18.308"/>
    <n v="4.8"/>
    <n v="366.16"/>
    <x v="2"/>
    <n v="3"/>
    <x v="1"/>
  </r>
  <r>
    <s v="584-86-7256"/>
    <x v="1"/>
    <s v="Naypyitaw"/>
    <x v="0"/>
    <s v="Male"/>
    <x v="3"/>
    <n v="34.56"/>
    <n v="7"/>
    <n v="12.096"/>
    <n v="254.01599999999999"/>
    <d v="2019-11-03T00:00:00"/>
    <x v="134"/>
    <x v="2"/>
    <n v="241.92"/>
    <n v="4.7619047620000003"/>
    <n v="12.096"/>
    <n v="7.3"/>
    <n v="241.92000000000002"/>
    <x v="10"/>
    <n v="11"/>
    <x v="2"/>
  </r>
  <r>
    <s v="746-94-0204"/>
    <x v="0"/>
    <s v="Yangon"/>
    <x v="1"/>
    <s v="Male"/>
    <x v="5"/>
    <n v="83.24"/>
    <n v="9"/>
    <n v="37.457999999999998"/>
    <n v="786.61800000000005"/>
    <d v="2019-01-29T00:00:00"/>
    <x v="135"/>
    <x v="2"/>
    <n v="749.16"/>
    <n v="4.7619047620000003"/>
    <n v="37.457999999999998"/>
    <n v="7.4"/>
    <n v="749.16"/>
    <x v="3"/>
    <n v="1"/>
    <x v="5"/>
  </r>
  <r>
    <s v="214-17-6927"/>
    <x v="1"/>
    <s v="Naypyitaw"/>
    <x v="1"/>
    <s v="Female"/>
    <x v="4"/>
    <n v="16.48"/>
    <n v="6"/>
    <n v="4.944"/>
    <n v="103.824"/>
    <d v="2019-07-02T00:00:00"/>
    <x v="136"/>
    <x v="0"/>
    <n v="98.88"/>
    <n v="4.7619047620000003"/>
    <n v="4.944"/>
    <n v="9.9"/>
    <n v="98.88"/>
    <x v="9"/>
    <n v="7"/>
    <x v="5"/>
  </r>
  <r>
    <s v="400-89-4171"/>
    <x v="1"/>
    <s v="Naypyitaw"/>
    <x v="1"/>
    <s v="Female"/>
    <x v="3"/>
    <n v="80.97"/>
    <n v="8"/>
    <n v="32.387999999999998"/>
    <n v="680.14800000000002"/>
    <d v="2019-01-28T00:00:00"/>
    <x v="137"/>
    <x v="1"/>
    <n v="647.76"/>
    <n v="4.7619047620000003"/>
    <n v="32.387999999999998"/>
    <n v="9.3000000000000007"/>
    <n v="647.76"/>
    <x v="3"/>
    <n v="1"/>
    <x v="4"/>
  </r>
  <r>
    <s v="782-95-9291"/>
    <x v="0"/>
    <s v="Yangon"/>
    <x v="0"/>
    <s v="Male"/>
    <x v="4"/>
    <n v="92.29"/>
    <n v="5"/>
    <n v="23.072500000000002"/>
    <n v="484.52249999999998"/>
    <d v="2019-02-20T00:00:00"/>
    <x v="57"/>
    <x v="2"/>
    <n v="461.45"/>
    <n v="4.7619047620000003"/>
    <n v="23.072500000000002"/>
    <n v="9"/>
    <n v="461.45000000000005"/>
    <x v="4"/>
    <n v="2"/>
    <x v="0"/>
  </r>
  <r>
    <s v="279-74-2924"/>
    <x v="2"/>
    <s v="Mandalay"/>
    <x v="0"/>
    <s v="Male"/>
    <x v="1"/>
    <n v="72.17"/>
    <n v="1"/>
    <n v="3.6084999999999998"/>
    <n v="75.778499999999994"/>
    <d v="2019-04-01T00:00:00"/>
    <x v="138"/>
    <x v="1"/>
    <n v="72.17"/>
    <n v="4.7619047620000003"/>
    <n v="3.6084999999999998"/>
    <n v="6.1"/>
    <n v="72.17"/>
    <x v="11"/>
    <n v="4"/>
    <x v="4"/>
  </r>
  <r>
    <s v="307-85-2293"/>
    <x v="2"/>
    <s v="Mandalay"/>
    <x v="1"/>
    <s v="Male"/>
    <x v="2"/>
    <n v="50.28"/>
    <n v="5"/>
    <n v="12.57"/>
    <n v="263.97000000000003"/>
    <d v="2019-07-03T00:00:00"/>
    <x v="139"/>
    <x v="0"/>
    <n v="251.4"/>
    <n v="4.7619047620000003"/>
    <n v="12.57"/>
    <n v="9.6999999999999993"/>
    <n v="251.4"/>
    <x v="9"/>
    <n v="7"/>
    <x v="0"/>
  </r>
  <r>
    <s v="743-04-1105"/>
    <x v="2"/>
    <s v="Mandalay"/>
    <x v="0"/>
    <s v="Male"/>
    <x v="0"/>
    <n v="97.22"/>
    <n v="9"/>
    <n v="43.749000000000002"/>
    <n v="918.72900000000004"/>
    <d v="2019-03-30T00:00:00"/>
    <x v="140"/>
    <x v="0"/>
    <n v="874.98"/>
    <n v="4.7619047620000003"/>
    <n v="43.749000000000002"/>
    <n v="6"/>
    <n v="874.98"/>
    <x v="2"/>
    <n v="3"/>
    <x v="1"/>
  </r>
  <r>
    <s v="423-57-2993"/>
    <x v="2"/>
    <s v="Mandalay"/>
    <x v="1"/>
    <s v="Male"/>
    <x v="3"/>
    <n v="93.39"/>
    <n v="6"/>
    <n v="28.016999999999999"/>
    <n v="588.35699999999997"/>
    <d v="2019-03-27T00:00:00"/>
    <x v="141"/>
    <x v="0"/>
    <n v="560.34"/>
    <n v="4.7619047620000003"/>
    <n v="28.016999999999999"/>
    <n v="10"/>
    <n v="560.34"/>
    <x v="2"/>
    <n v="3"/>
    <x v="0"/>
  </r>
  <r>
    <s v="894-41-5205"/>
    <x v="1"/>
    <s v="Naypyitaw"/>
    <x v="1"/>
    <s v="Female"/>
    <x v="4"/>
    <n v="43.18"/>
    <n v="8"/>
    <n v="17.271999999999998"/>
    <n v="362.71199999999999"/>
    <d v="2019-01-19T00:00:00"/>
    <x v="30"/>
    <x v="2"/>
    <n v="345.44"/>
    <n v="4.7619047620000003"/>
    <n v="17.271999999999998"/>
    <n v="8.3000000000000007"/>
    <n v="345.44"/>
    <x v="3"/>
    <n v="1"/>
    <x v="1"/>
  </r>
  <r>
    <s v="275-28-0149"/>
    <x v="0"/>
    <s v="Yangon"/>
    <x v="1"/>
    <s v="Male"/>
    <x v="3"/>
    <n v="63.69"/>
    <n v="1"/>
    <n v="3.1844999999999999"/>
    <n v="66.874499999999998"/>
    <d v="2019-02-25T00:00:00"/>
    <x v="142"/>
    <x v="1"/>
    <n v="63.69"/>
    <n v="4.7619047620000003"/>
    <n v="3.1844999999999999"/>
    <n v="6"/>
    <n v="63.69"/>
    <x v="4"/>
    <n v="2"/>
    <x v="4"/>
  </r>
  <r>
    <s v="101-17-6199"/>
    <x v="0"/>
    <s v="Yangon"/>
    <x v="1"/>
    <s v="Male"/>
    <x v="4"/>
    <n v="45.79"/>
    <n v="7"/>
    <n v="16.026499999999999"/>
    <n v="336.55650000000003"/>
    <d v="2019-03-13T00:00:00"/>
    <x v="143"/>
    <x v="2"/>
    <n v="320.52999999999997"/>
    <n v="4.7619047620000003"/>
    <n v="16.026499999999999"/>
    <n v="7"/>
    <n v="320.52999999999997"/>
    <x v="2"/>
    <n v="3"/>
    <x v="0"/>
  </r>
  <r>
    <s v="423-80-0988"/>
    <x v="1"/>
    <s v="Naypyitaw"/>
    <x v="1"/>
    <s v="Male"/>
    <x v="3"/>
    <n v="76.400000000000006"/>
    <n v="2"/>
    <n v="7.64"/>
    <n v="160.44"/>
    <d v="2019-01-30T00:00:00"/>
    <x v="144"/>
    <x v="0"/>
    <n v="152.80000000000001"/>
    <n v="4.7619047620000003"/>
    <n v="7.64"/>
    <n v="6.5"/>
    <n v="152.80000000000001"/>
    <x v="3"/>
    <n v="1"/>
    <x v="0"/>
  </r>
  <r>
    <s v="548-46-9322"/>
    <x v="2"/>
    <s v="Mandalay"/>
    <x v="1"/>
    <s v="Male"/>
    <x v="4"/>
    <n v="39.9"/>
    <n v="10"/>
    <n v="19.95"/>
    <n v="418.95"/>
    <d v="2019-02-20T00:00:00"/>
    <x v="145"/>
    <x v="2"/>
    <n v="399"/>
    <n v="4.7619047620000003"/>
    <n v="19.95"/>
    <n v="5.9"/>
    <n v="399"/>
    <x v="4"/>
    <n v="2"/>
    <x v="0"/>
  </r>
  <r>
    <s v="505-02-0892"/>
    <x v="2"/>
    <s v="Mandalay"/>
    <x v="0"/>
    <s v="Male"/>
    <x v="0"/>
    <n v="42.57"/>
    <n v="8"/>
    <n v="17.027999999999999"/>
    <n v="357.58800000000002"/>
    <d v="2019-02-25T00:00:00"/>
    <x v="146"/>
    <x v="0"/>
    <n v="340.56"/>
    <n v="4.7619047620000003"/>
    <n v="17.027999999999999"/>
    <n v="5.6"/>
    <n v="340.56"/>
    <x v="4"/>
    <n v="2"/>
    <x v="4"/>
  </r>
  <r>
    <s v="234-65-2137"/>
    <x v="1"/>
    <s v="Naypyitaw"/>
    <x v="1"/>
    <s v="Male"/>
    <x v="2"/>
    <n v="95.58"/>
    <n v="10"/>
    <n v="47.79"/>
    <n v="1003.59"/>
    <d v="2019-01-16T00:00:00"/>
    <x v="147"/>
    <x v="1"/>
    <n v="955.8"/>
    <n v="4.7619047620000003"/>
    <n v="47.79"/>
    <n v="4.8"/>
    <n v="955.8"/>
    <x v="3"/>
    <n v="1"/>
    <x v="0"/>
  </r>
  <r>
    <s v="687-47-8271"/>
    <x v="0"/>
    <s v="Yangon"/>
    <x v="1"/>
    <s v="Male"/>
    <x v="5"/>
    <n v="98.98"/>
    <n v="10"/>
    <n v="49.49"/>
    <n v="1039.29"/>
    <d v="2019-08-02T00:00:00"/>
    <x v="148"/>
    <x v="2"/>
    <n v="989.8"/>
    <n v="4.7619047620000003"/>
    <n v="49.49"/>
    <n v="8.6999999999999993"/>
    <n v="989.80000000000007"/>
    <x v="1"/>
    <n v="8"/>
    <x v="3"/>
  </r>
  <r>
    <s v="796-32-9050"/>
    <x v="0"/>
    <s v="Yangon"/>
    <x v="1"/>
    <s v="Male"/>
    <x v="4"/>
    <n v="51.28"/>
    <n v="6"/>
    <n v="15.384"/>
    <n v="323.06400000000002"/>
    <d v="2019-01-19T00:00:00"/>
    <x v="149"/>
    <x v="1"/>
    <n v="307.68"/>
    <n v="4.7619047620000003"/>
    <n v="15.384"/>
    <n v="6.5"/>
    <n v="307.68"/>
    <x v="3"/>
    <n v="1"/>
    <x v="1"/>
  </r>
  <r>
    <s v="105-31-1824"/>
    <x v="0"/>
    <s v="Yangon"/>
    <x v="0"/>
    <s v="Male"/>
    <x v="3"/>
    <n v="69.52"/>
    <n v="7"/>
    <n v="24.332000000000001"/>
    <n v="510.97199999999998"/>
    <d v="2019-01-02T00:00:00"/>
    <x v="50"/>
    <x v="2"/>
    <n v="486.64"/>
    <n v="4.7619047620000003"/>
    <n v="24.332000000000001"/>
    <n v="8.5"/>
    <n v="486.64"/>
    <x v="3"/>
    <n v="1"/>
    <x v="0"/>
  </r>
  <r>
    <s v="249-42-3782"/>
    <x v="0"/>
    <s v="Yangon"/>
    <x v="1"/>
    <s v="Male"/>
    <x v="0"/>
    <n v="70.010000000000005"/>
    <n v="5"/>
    <n v="17.502500000000001"/>
    <n v="367.55250000000001"/>
    <d v="2019-03-01T00:00:00"/>
    <x v="150"/>
    <x v="0"/>
    <n v="350.05"/>
    <n v="4.7619047620000003"/>
    <n v="17.502500000000001"/>
    <n v="5.5"/>
    <n v="350.05"/>
    <x v="2"/>
    <n v="3"/>
    <x v="3"/>
  </r>
  <r>
    <s v="316-55-4634"/>
    <x v="2"/>
    <s v="Mandalay"/>
    <x v="0"/>
    <s v="Male"/>
    <x v="4"/>
    <n v="80.05"/>
    <n v="5"/>
    <n v="20.012499999999999"/>
    <n v="420.26249999999999"/>
    <d v="2019-01-26T00:00:00"/>
    <x v="47"/>
    <x v="2"/>
    <n v="400.25"/>
    <n v="4.7619047620000003"/>
    <n v="20.012499999999999"/>
    <n v="9.4"/>
    <n v="400.25"/>
    <x v="3"/>
    <n v="1"/>
    <x v="1"/>
  </r>
  <r>
    <s v="733-33-4967"/>
    <x v="1"/>
    <s v="Naypyitaw"/>
    <x v="1"/>
    <s v="Male"/>
    <x v="1"/>
    <n v="20.85"/>
    <n v="8"/>
    <n v="8.34"/>
    <n v="175.14"/>
    <d v="2019-03-03T00:00:00"/>
    <x v="151"/>
    <x v="1"/>
    <n v="166.8"/>
    <n v="4.7619047620000003"/>
    <n v="8.34"/>
    <n v="6.3"/>
    <n v="166.8"/>
    <x v="2"/>
    <n v="3"/>
    <x v="2"/>
  </r>
  <r>
    <s v="608-27-6295"/>
    <x v="2"/>
    <s v="Mandalay"/>
    <x v="0"/>
    <s v="Male"/>
    <x v="1"/>
    <n v="52.89"/>
    <n v="6"/>
    <n v="15.867000000000001"/>
    <n v="333.20699999999999"/>
    <d v="2019-01-19T00:00:00"/>
    <x v="152"/>
    <x v="2"/>
    <n v="317.33999999999997"/>
    <n v="4.7619047620000003"/>
    <n v="15.867000000000001"/>
    <n v="9.8000000000000007"/>
    <n v="317.34000000000003"/>
    <x v="3"/>
    <n v="1"/>
    <x v="1"/>
  </r>
  <r>
    <s v="414-12-7047"/>
    <x v="2"/>
    <s v="Mandalay"/>
    <x v="1"/>
    <s v="Male"/>
    <x v="4"/>
    <n v="19.79"/>
    <n v="8"/>
    <n v="7.9160000000000004"/>
    <n v="166.23599999999999"/>
    <d v="2019-01-18T00:00:00"/>
    <x v="153"/>
    <x v="0"/>
    <n v="158.32"/>
    <n v="4.7619047620000003"/>
    <n v="7.9160000000000004"/>
    <n v="8.6999999999999993"/>
    <n v="158.32"/>
    <x v="3"/>
    <n v="1"/>
    <x v="3"/>
  </r>
  <r>
    <s v="827-26-2100"/>
    <x v="0"/>
    <s v="Yangon"/>
    <x v="0"/>
    <s v="Male"/>
    <x v="2"/>
    <n v="33.840000000000003"/>
    <n v="9"/>
    <n v="15.228"/>
    <n v="319.78800000000001"/>
    <d v="2019-03-21T00:00:00"/>
    <x v="142"/>
    <x v="0"/>
    <n v="304.56"/>
    <n v="4.7619047620000003"/>
    <n v="15.228"/>
    <n v="8.8000000000000007"/>
    <n v="304.56000000000006"/>
    <x v="2"/>
    <n v="3"/>
    <x v="6"/>
  </r>
  <r>
    <s v="175-54-2529"/>
    <x v="0"/>
    <s v="Yangon"/>
    <x v="0"/>
    <s v="Male"/>
    <x v="4"/>
    <n v="22.17"/>
    <n v="8"/>
    <n v="8.8680000000000003"/>
    <n v="186.22800000000001"/>
    <d v="2019-03-03T00:00:00"/>
    <x v="154"/>
    <x v="2"/>
    <n v="177.36"/>
    <n v="4.7619047620000003"/>
    <n v="8.8680000000000003"/>
    <n v="9.6"/>
    <n v="177.36"/>
    <x v="2"/>
    <n v="3"/>
    <x v="2"/>
  </r>
  <r>
    <s v="139-52-2867"/>
    <x v="1"/>
    <s v="Naypyitaw"/>
    <x v="1"/>
    <s v="Female"/>
    <x v="5"/>
    <n v="22.51"/>
    <n v="7"/>
    <n v="7.8784999999999998"/>
    <n v="165.4485"/>
    <d v="2019-02-13T00:00:00"/>
    <x v="155"/>
    <x v="2"/>
    <n v="157.57"/>
    <n v="4.7619047620000003"/>
    <n v="7.8784999999999998"/>
    <n v="4.8"/>
    <n v="157.57000000000002"/>
    <x v="4"/>
    <n v="2"/>
    <x v="0"/>
  </r>
  <r>
    <s v="407-63-8975"/>
    <x v="0"/>
    <s v="Yangon"/>
    <x v="1"/>
    <s v="Male"/>
    <x v="4"/>
    <n v="73.88"/>
    <n v="6"/>
    <n v="22.164000000000001"/>
    <n v="465.44400000000002"/>
    <d v="2019-03-23T00:00:00"/>
    <x v="156"/>
    <x v="0"/>
    <n v="443.28"/>
    <n v="4.7619047620000003"/>
    <n v="22.164000000000001"/>
    <n v="4.4000000000000004"/>
    <n v="443.28"/>
    <x v="2"/>
    <n v="3"/>
    <x v="1"/>
  </r>
  <r>
    <s v="342-65-4817"/>
    <x v="1"/>
    <s v="Naypyitaw"/>
    <x v="0"/>
    <s v="Male"/>
    <x v="0"/>
    <n v="86.8"/>
    <n v="3"/>
    <n v="13.02"/>
    <n v="273.42"/>
    <d v="2019-01-28T00:00:00"/>
    <x v="157"/>
    <x v="0"/>
    <n v="260.39999999999998"/>
    <n v="4.7619047620000003"/>
    <n v="13.02"/>
    <n v="9.9"/>
    <n v="260.39999999999998"/>
    <x v="3"/>
    <n v="1"/>
    <x v="4"/>
  </r>
  <r>
    <s v="130-98-8941"/>
    <x v="1"/>
    <s v="Naypyitaw"/>
    <x v="1"/>
    <s v="Male"/>
    <x v="5"/>
    <n v="64.260000000000005"/>
    <n v="7"/>
    <n v="22.491"/>
    <n v="472.31099999999998"/>
    <d v="2019-09-02T00:00:00"/>
    <x v="158"/>
    <x v="1"/>
    <n v="449.82"/>
    <n v="4.7619047620000003"/>
    <n v="22.491"/>
    <n v="5.7"/>
    <n v="449.82000000000005"/>
    <x v="7"/>
    <n v="9"/>
    <x v="4"/>
  </r>
  <r>
    <s v="434-83-9547"/>
    <x v="1"/>
    <s v="Naypyitaw"/>
    <x v="0"/>
    <s v="Male"/>
    <x v="4"/>
    <n v="38.47"/>
    <n v="8"/>
    <n v="15.388"/>
    <n v="323.14800000000002"/>
    <d v="2019-01-23T00:00:00"/>
    <x v="159"/>
    <x v="1"/>
    <n v="307.76"/>
    <n v="4.7619047620000003"/>
    <n v="15.388"/>
    <n v="7.7"/>
    <n v="307.76"/>
    <x v="3"/>
    <n v="1"/>
    <x v="0"/>
  </r>
  <r>
    <s v="851-28-6367"/>
    <x v="0"/>
    <s v="Yangon"/>
    <x v="0"/>
    <s v="Male"/>
    <x v="3"/>
    <n v="15.5"/>
    <n v="10"/>
    <n v="7.75"/>
    <n v="162.75"/>
    <d v="2019-03-23T00:00:00"/>
    <x v="60"/>
    <x v="0"/>
    <n v="155"/>
    <n v="4.7619047620000003"/>
    <n v="7.75"/>
    <n v="8"/>
    <n v="155"/>
    <x v="2"/>
    <n v="3"/>
    <x v="1"/>
  </r>
  <r>
    <s v="824-88-3614"/>
    <x v="1"/>
    <s v="Naypyitaw"/>
    <x v="1"/>
    <s v="Male"/>
    <x v="0"/>
    <n v="34.31"/>
    <n v="8"/>
    <n v="13.724"/>
    <n v="288.20400000000001"/>
    <d v="2019-01-25T00:00:00"/>
    <x v="160"/>
    <x v="0"/>
    <n v="274.48"/>
    <n v="4.7619047620000003"/>
    <n v="13.724"/>
    <n v="5.7"/>
    <n v="274.48"/>
    <x v="3"/>
    <n v="1"/>
    <x v="3"/>
  </r>
  <r>
    <s v="586-25-0848"/>
    <x v="0"/>
    <s v="Yangon"/>
    <x v="1"/>
    <s v="Female"/>
    <x v="3"/>
    <n v="12.34"/>
    <n v="7"/>
    <n v="4.319"/>
    <n v="90.698999999999998"/>
    <d v="2019-04-03T00:00:00"/>
    <x v="161"/>
    <x v="2"/>
    <n v="86.38"/>
    <n v="4.7619047620000003"/>
    <n v="4.319"/>
    <n v="6.7"/>
    <n v="86.38"/>
    <x v="11"/>
    <n v="4"/>
    <x v="0"/>
  </r>
  <r>
    <s v="895-66-0685"/>
    <x v="2"/>
    <s v="Mandalay"/>
    <x v="0"/>
    <s v="Male"/>
    <x v="4"/>
    <n v="18.079999999999998"/>
    <n v="3"/>
    <n v="2.7120000000000002"/>
    <n v="56.951999999999998"/>
    <d v="2019-05-03T00:00:00"/>
    <x v="162"/>
    <x v="0"/>
    <n v="54.24"/>
    <n v="4.7619047620000003"/>
    <n v="2.7120000000000002"/>
    <n v="8"/>
    <n v="54.239999999999995"/>
    <x v="0"/>
    <n v="5"/>
    <x v="3"/>
  </r>
  <r>
    <s v="305-14-0245"/>
    <x v="2"/>
    <s v="Mandalay"/>
    <x v="0"/>
    <s v="Female"/>
    <x v="2"/>
    <n v="94.49"/>
    <n v="8"/>
    <n v="37.795999999999999"/>
    <n v="793.71600000000001"/>
    <d v="2019-03-03T00:00:00"/>
    <x v="163"/>
    <x v="0"/>
    <n v="755.92"/>
    <n v="4.7619047620000003"/>
    <n v="37.795999999999999"/>
    <n v="7.5"/>
    <n v="755.92"/>
    <x v="2"/>
    <n v="3"/>
    <x v="2"/>
  </r>
  <r>
    <s v="732-04-5373"/>
    <x v="2"/>
    <s v="Mandalay"/>
    <x v="0"/>
    <s v="Male"/>
    <x v="2"/>
    <n v="46.47"/>
    <n v="4"/>
    <n v="9.2940000000000005"/>
    <n v="195.17400000000001"/>
    <d v="2019-08-02T00:00:00"/>
    <x v="164"/>
    <x v="1"/>
    <n v="185.88"/>
    <n v="4.7619047620000003"/>
    <n v="9.2940000000000005"/>
    <n v="7"/>
    <n v="185.88"/>
    <x v="1"/>
    <n v="8"/>
    <x v="3"/>
  </r>
  <r>
    <s v="400-60-7251"/>
    <x v="0"/>
    <s v="Yangon"/>
    <x v="1"/>
    <s v="Male"/>
    <x v="2"/>
    <n v="74.069999999999993"/>
    <n v="1"/>
    <n v="3.7035"/>
    <n v="77.773499999999999"/>
    <d v="2019-10-02T00:00:00"/>
    <x v="165"/>
    <x v="0"/>
    <n v="74.069999999999993"/>
    <n v="4.7619047620000003"/>
    <n v="3.7035"/>
    <n v="9.9"/>
    <n v="74.069999999999993"/>
    <x v="5"/>
    <n v="10"/>
    <x v="0"/>
  </r>
  <r>
    <s v="593-65-1552"/>
    <x v="1"/>
    <s v="Naypyitaw"/>
    <x v="1"/>
    <s v="Female"/>
    <x v="2"/>
    <n v="69.81"/>
    <n v="4"/>
    <n v="13.962"/>
    <n v="293.202"/>
    <d v="2019-01-28T00:00:00"/>
    <x v="166"/>
    <x v="2"/>
    <n v="279.24"/>
    <n v="4.7619047620000003"/>
    <n v="13.962"/>
    <n v="5.9"/>
    <n v="279.24"/>
    <x v="3"/>
    <n v="1"/>
    <x v="4"/>
  </r>
  <r>
    <s v="284-34-9626"/>
    <x v="2"/>
    <s v="Mandalay"/>
    <x v="1"/>
    <s v="Female"/>
    <x v="2"/>
    <n v="77.040000000000006"/>
    <n v="3"/>
    <n v="11.555999999999999"/>
    <n v="242.67599999999999"/>
    <d v="2019-11-02T00:00:00"/>
    <x v="17"/>
    <x v="2"/>
    <n v="231.12"/>
    <n v="4.7619047620000003"/>
    <n v="11.555999999999999"/>
    <n v="7.2"/>
    <n v="231.12"/>
    <x v="10"/>
    <n v="11"/>
    <x v="1"/>
  </r>
  <r>
    <s v="437-58-8131"/>
    <x v="2"/>
    <s v="Mandalay"/>
    <x v="1"/>
    <s v="Female"/>
    <x v="5"/>
    <n v="73.52"/>
    <n v="2"/>
    <n v="7.3520000000000003"/>
    <n v="154.392"/>
    <d v="2019-01-15T00:00:00"/>
    <x v="167"/>
    <x v="0"/>
    <n v="147.04"/>
    <n v="4.7619047620000003"/>
    <n v="7.3520000000000003"/>
    <n v="4.5999999999999996"/>
    <n v="147.04"/>
    <x v="3"/>
    <n v="1"/>
    <x v="5"/>
  </r>
  <r>
    <s v="286-43-6208"/>
    <x v="1"/>
    <s v="Naypyitaw"/>
    <x v="1"/>
    <s v="Female"/>
    <x v="4"/>
    <n v="87.8"/>
    <n v="9"/>
    <n v="39.51"/>
    <n v="829.71"/>
    <d v="2019-03-16T00:00:00"/>
    <x v="168"/>
    <x v="1"/>
    <n v="790.2"/>
    <n v="4.7619047620000003"/>
    <n v="39.51"/>
    <n v="9.1999999999999993"/>
    <n v="790.19999999999993"/>
    <x v="2"/>
    <n v="3"/>
    <x v="1"/>
  </r>
  <r>
    <s v="641-43-2399"/>
    <x v="2"/>
    <s v="Mandalay"/>
    <x v="1"/>
    <s v="Male"/>
    <x v="2"/>
    <n v="25.55"/>
    <n v="4"/>
    <n v="5.1100000000000003"/>
    <n v="107.31"/>
    <d v="2019-01-26T00:00:00"/>
    <x v="169"/>
    <x v="0"/>
    <n v="102.2"/>
    <n v="4.7619047620000003"/>
    <n v="5.1100000000000003"/>
    <n v="5.7"/>
    <n v="102.2"/>
    <x v="3"/>
    <n v="1"/>
    <x v="1"/>
  </r>
  <r>
    <s v="831-07-6050"/>
    <x v="0"/>
    <s v="Yangon"/>
    <x v="1"/>
    <s v="Male"/>
    <x v="1"/>
    <n v="32.71"/>
    <n v="5"/>
    <n v="8.1775000000000002"/>
    <n v="171.72749999999999"/>
    <d v="2019-03-19T00:00:00"/>
    <x v="170"/>
    <x v="2"/>
    <n v="163.55000000000001"/>
    <n v="4.7619047620000003"/>
    <n v="8.1775000000000002"/>
    <n v="9.9"/>
    <n v="163.55000000000001"/>
    <x v="2"/>
    <n v="3"/>
    <x v="5"/>
  </r>
  <r>
    <s v="556-86-3144"/>
    <x v="1"/>
    <s v="Naypyitaw"/>
    <x v="0"/>
    <s v="Female"/>
    <x v="5"/>
    <n v="74.290000000000006"/>
    <n v="1"/>
    <n v="3.7145000000000001"/>
    <n v="78.004499999999993"/>
    <d v="2019-01-13T00:00:00"/>
    <x v="171"/>
    <x v="1"/>
    <n v="74.290000000000006"/>
    <n v="4.7619047620000003"/>
    <n v="3.7145000000000001"/>
    <n v="5"/>
    <n v="74.290000000000006"/>
    <x v="3"/>
    <n v="1"/>
    <x v="2"/>
  </r>
  <r>
    <s v="848-24-9445"/>
    <x v="1"/>
    <s v="Naypyitaw"/>
    <x v="0"/>
    <s v="Male"/>
    <x v="0"/>
    <n v="43.7"/>
    <n v="2"/>
    <n v="4.37"/>
    <n v="91.77"/>
    <d v="2019-03-26T00:00:00"/>
    <x v="172"/>
    <x v="1"/>
    <n v="87.4"/>
    <n v="4.7619047620000003"/>
    <n v="4.37"/>
    <n v="4.9000000000000004"/>
    <n v="87.4"/>
    <x v="2"/>
    <n v="3"/>
    <x v="5"/>
  </r>
  <r>
    <s v="856-22-8149"/>
    <x v="0"/>
    <s v="Yangon"/>
    <x v="1"/>
    <s v="Female"/>
    <x v="2"/>
    <n v="25.29"/>
    <n v="1"/>
    <n v="1.2645"/>
    <n v="26.554500000000001"/>
    <d v="2019-03-23T00:00:00"/>
    <x v="173"/>
    <x v="0"/>
    <n v="25.29"/>
    <n v="4.7619047620000003"/>
    <n v="1.2645"/>
    <n v="6.1"/>
    <n v="25.29"/>
    <x v="2"/>
    <n v="3"/>
    <x v="1"/>
  </r>
  <r>
    <s v="699-01-4164"/>
    <x v="1"/>
    <s v="Naypyitaw"/>
    <x v="1"/>
    <s v="Male"/>
    <x v="0"/>
    <n v="41.5"/>
    <n v="4"/>
    <n v="8.3000000000000007"/>
    <n v="174.3"/>
    <d v="2019-12-03T00:00:00"/>
    <x v="174"/>
    <x v="2"/>
    <n v="166"/>
    <n v="4.7619047620000003"/>
    <n v="8.3000000000000007"/>
    <n v="8.1999999999999993"/>
    <n v="166"/>
    <x v="8"/>
    <n v="12"/>
    <x v="5"/>
  </r>
  <r>
    <s v="420-11-4919"/>
    <x v="1"/>
    <s v="Naypyitaw"/>
    <x v="0"/>
    <s v="Female"/>
    <x v="4"/>
    <n v="71.39"/>
    <n v="5"/>
    <n v="17.8475"/>
    <n v="374.79750000000001"/>
    <d v="2019-02-17T00:00:00"/>
    <x v="129"/>
    <x v="2"/>
    <n v="356.95"/>
    <n v="4.7619047620000003"/>
    <n v="17.8475"/>
    <n v="5.5"/>
    <n v="356.95"/>
    <x v="4"/>
    <n v="2"/>
    <x v="2"/>
  </r>
  <r>
    <s v="606-80-4905"/>
    <x v="1"/>
    <s v="Naypyitaw"/>
    <x v="0"/>
    <s v="Female"/>
    <x v="3"/>
    <n v="19.149999999999999"/>
    <n v="6"/>
    <n v="5.7450000000000001"/>
    <n v="120.645"/>
    <d v="2019-01-29T00:00:00"/>
    <x v="175"/>
    <x v="2"/>
    <n v="114.9"/>
    <n v="4.7619047620000003"/>
    <n v="5.7450000000000001"/>
    <n v="6.8"/>
    <n v="114.89999999999999"/>
    <x v="3"/>
    <n v="1"/>
    <x v="5"/>
  </r>
  <r>
    <s v="542-41-0513"/>
    <x v="2"/>
    <s v="Mandalay"/>
    <x v="0"/>
    <s v="Female"/>
    <x v="1"/>
    <n v="57.49"/>
    <n v="4"/>
    <n v="11.497999999999999"/>
    <n v="241.458"/>
    <d v="2019-03-15T00:00:00"/>
    <x v="176"/>
    <x v="1"/>
    <n v="229.96"/>
    <n v="4.7619047620000003"/>
    <n v="11.497999999999999"/>
    <n v="6.6"/>
    <n v="229.96"/>
    <x v="2"/>
    <n v="3"/>
    <x v="3"/>
  </r>
  <r>
    <s v="426-39-2418"/>
    <x v="1"/>
    <s v="Naypyitaw"/>
    <x v="1"/>
    <s v="Male"/>
    <x v="1"/>
    <n v="61.41"/>
    <n v="7"/>
    <n v="21.493500000000001"/>
    <n v="451.36349999999999"/>
    <d v="2019-01-14T00:00:00"/>
    <x v="177"/>
    <x v="1"/>
    <n v="429.87"/>
    <n v="4.7619047620000003"/>
    <n v="21.493500000000001"/>
    <n v="9.8000000000000007"/>
    <n v="429.87"/>
    <x v="3"/>
    <n v="1"/>
    <x v="4"/>
  </r>
  <r>
    <s v="875-46-5808"/>
    <x v="2"/>
    <s v="Mandalay"/>
    <x v="0"/>
    <s v="Male"/>
    <x v="0"/>
    <n v="25.9"/>
    <n v="10"/>
    <n v="12.95"/>
    <n v="271.95"/>
    <d v="2019-06-02T00:00:00"/>
    <x v="178"/>
    <x v="0"/>
    <n v="259"/>
    <n v="4.7619047620000003"/>
    <n v="12.95"/>
    <n v="8.6999999999999993"/>
    <n v="259"/>
    <x v="6"/>
    <n v="6"/>
    <x v="2"/>
  </r>
  <r>
    <s v="394-43-4238"/>
    <x v="2"/>
    <s v="Mandalay"/>
    <x v="0"/>
    <s v="Male"/>
    <x v="2"/>
    <n v="17.77"/>
    <n v="5"/>
    <n v="4.4424999999999999"/>
    <n v="93.292500000000004"/>
    <d v="2019-02-15T00:00:00"/>
    <x v="179"/>
    <x v="2"/>
    <n v="88.85"/>
    <n v="4.7619047620000003"/>
    <n v="4.4424999999999999"/>
    <n v="5.4"/>
    <n v="88.85"/>
    <x v="4"/>
    <n v="2"/>
    <x v="3"/>
  </r>
  <r>
    <s v="749-24-1565"/>
    <x v="0"/>
    <s v="Yangon"/>
    <x v="1"/>
    <s v="Female"/>
    <x v="0"/>
    <n v="23.03"/>
    <n v="9"/>
    <n v="10.3635"/>
    <n v="217.6335"/>
    <d v="2019-03-01T00:00:00"/>
    <x v="110"/>
    <x v="0"/>
    <n v="207.27"/>
    <n v="4.7619047620000003"/>
    <n v="10.3635"/>
    <n v="7.9"/>
    <n v="207.27"/>
    <x v="2"/>
    <n v="3"/>
    <x v="3"/>
  </r>
  <r>
    <s v="672-51-8681"/>
    <x v="1"/>
    <s v="Naypyitaw"/>
    <x v="0"/>
    <s v="Female"/>
    <x v="1"/>
    <n v="66.650000000000006"/>
    <n v="9"/>
    <n v="29.9925"/>
    <n v="629.84249999999997"/>
    <d v="2019-04-01T00:00:00"/>
    <x v="96"/>
    <x v="2"/>
    <n v="599.85"/>
    <n v="4.7619047620000003"/>
    <n v="29.9925"/>
    <n v="9.6999999999999993"/>
    <n v="599.85"/>
    <x v="11"/>
    <n v="4"/>
    <x v="4"/>
  </r>
  <r>
    <s v="263-87-5680"/>
    <x v="1"/>
    <s v="Naypyitaw"/>
    <x v="0"/>
    <s v="Female"/>
    <x v="2"/>
    <n v="28.53"/>
    <n v="10"/>
    <n v="14.265000000000001"/>
    <n v="299.565"/>
    <d v="2019-03-18T00:00:00"/>
    <x v="180"/>
    <x v="0"/>
    <n v="285.3"/>
    <n v="4.7619047620000003"/>
    <n v="14.265000000000001"/>
    <n v="7.8"/>
    <n v="285.3"/>
    <x v="2"/>
    <n v="3"/>
    <x v="4"/>
  </r>
  <r>
    <s v="573-58-9734"/>
    <x v="2"/>
    <s v="Mandalay"/>
    <x v="1"/>
    <s v="Female"/>
    <x v="5"/>
    <n v="30.37"/>
    <n v="3"/>
    <n v="4.5555000000000003"/>
    <n v="95.665499999999994"/>
    <d v="2019-03-28T00:00:00"/>
    <x v="167"/>
    <x v="0"/>
    <n v="91.11"/>
    <n v="4.7619047620000003"/>
    <n v="4.5555000000000003"/>
    <n v="5.0999999999999996"/>
    <n v="91.11"/>
    <x v="2"/>
    <n v="3"/>
    <x v="6"/>
  </r>
  <r>
    <s v="817-69-8206"/>
    <x v="2"/>
    <s v="Mandalay"/>
    <x v="1"/>
    <s v="Female"/>
    <x v="1"/>
    <n v="99.73"/>
    <n v="9"/>
    <n v="44.878500000000003"/>
    <n v="942.44849999999997"/>
    <d v="2019-02-03T00:00:00"/>
    <x v="144"/>
    <x v="2"/>
    <n v="897.57"/>
    <n v="4.7619047620000003"/>
    <n v="44.878500000000003"/>
    <n v="6.5"/>
    <n v="897.57"/>
    <x v="4"/>
    <n v="2"/>
    <x v="2"/>
  </r>
  <r>
    <s v="888-02-0338"/>
    <x v="0"/>
    <s v="Yangon"/>
    <x v="1"/>
    <s v="Male"/>
    <x v="1"/>
    <n v="26.23"/>
    <n v="9"/>
    <n v="11.8035"/>
    <n v="247.87350000000001"/>
    <d v="2019-01-25T00:00:00"/>
    <x v="181"/>
    <x v="0"/>
    <n v="236.07"/>
    <n v="4.7619047620000003"/>
    <n v="11.8035"/>
    <n v="5.9"/>
    <n v="236.07"/>
    <x v="3"/>
    <n v="1"/>
    <x v="3"/>
  </r>
  <r>
    <s v="677-11-0152"/>
    <x v="1"/>
    <s v="Naypyitaw"/>
    <x v="1"/>
    <s v="Female"/>
    <x v="4"/>
    <n v="93.26"/>
    <n v="9"/>
    <n v="41.966999999999999"/>
    <n v="881.30700000000002"/>
    <d v="2019-01-16T00:00:00"/>
    <x v="182"/>
    <x v="1"/>
    <n v="839.34"/>
    <n v="4.7619047620000003"/>
    <n v="41.966999999999999"/>
    <n v="8.8000000000000007"/>
    <n v="839.34"/>
    <x v="3"/>
    <n v="1"/>
    <x v="0"/>
  </r>
  <r>
    <s v="142-63-6033"/>
    <x v="2"/>
    <s v="Mandalay"/>
    <x v="1"/>
    <s v="Male"/>
    <x v="2"/>
    <n v="92.36"/>
    <n v="5"/>
    <n v="23.09"/>
    <n v="484.89"/>
    <d v="2019-03-20T00:00:00"/>
    <x v="151"/>
    <x v="0"/>
    <n v="461.8"/>
    <n v="4.7619047620000003"/>
    <n v="23.09"/>
    <n v="4.9000000000000004"/>
    <n v="461.8"/>
    <x v="2"/>
    <n v="3"/>
    <x v="0"/>
  </r>
  <r>
    <s v="656-16-1063"/>
    <x v="2"/>
    <s v="Mandalay"/>
    <x v="1"/>
    <s v="Male"/>
    <x v="3"/>
    <n v="46.42"/>
    <n v="3"/>
    <n v="6.9630000000000001"/>
    <n v="146.22300000000001"/>
    <d v="2019-04-01T00:00:00"/>
    <x v="38"/>
    <x v="2"/>
    <n v="139.26"/>
    <n v="4.7619047620000003"/>
    <n v="6.9630000000000001"/>
    <n v="4.4000000000000004"/>
    <n v="139.26"/>
    <x v="11"/>
    <n v="4"/>
    <x v="4"/>
  </r>
  <r>
    <s v="891-58-8335"/>
    <x v="2"/>
    <s v="Mandalay"/>
    <x v="0"/>
    <s v="Female"/>
    <x v="3"/>
    <n v="29.61"/>
    <n v="7"/>
    <n v="10.3635"/>
    <n v="217.6335"/>
    <d v="2019-11-03T00:00:00"/>
    <x v="183"/>
    <x v="1"/>
    <n v="207.27"/>
    <n v="4.7619047620000003"/>
    <n v="10.3635"/>
    <n v="6.5"/>
    <n v="207.26999999999998"/>
    <x v="10"/>
    <n v="11"/>
    <x v="2"/>
  </r>
  <r>
    <s v="802-43-8934"/>
    <x v="0"/>
    <s v="Yangon"/>
    <x v="1"/>
    <s v="Male"/>
    <x v="2"/>
    <n v="18.28"/>
    <n v="1"/>
    <n v="0.91400000000000003"/>
    <n v="19.193999999999999"/>
    <d v="2019-03-22T00:00:00"/>
    <x v="184"/>
    <x v="2"/>
    <n v="18.28"/>
    <n v="4.7619047620000003"/>
    <n v="0.91400000000000003"/>
    <n v="8.3000000000000007"/>
    <n v="18.28"/>
    <x v="2"/>
    <n v="3"/>
    <x v="3"/>
  </r>
  <r>
    <s v="560-30-5617"/>
    <x v="2"/>
    <s v="Mandalay"/>
    <x v="1"/>
    <s v="Female"/>
    <x v="3"/>
    <n v="24.77"/>
    <n v="5"/>
    <n v="6.1924999999999999"/>
    <n v="130.04249999999999"/>
    <d v="2019-03-24T00:00:00"/>
    <x v="185"/>
    <x v="1"/>
    <n v="123.85"/>
    <n v="4.7619047620000003"/>
    <n v="6.1924999999999999"/>
    <n v="8.5"/>
    <n v="123.85"/>
    <x v="2"/>
    <n v="3"/>
    <x v="2"/>
  </r>
  <r>
    <s v="319-74-2561"/>
    <x v="0"/>
    <s v="Yangon"/>
    <x v="0"/>
    <s v="Female"/>
    <x v="1"/>
    <n v="94.64"/>
    <n v="3"/>
    <n v="14.196"/>
    <n v="298.11599999999999"/>
    <d v="2019-02-21T00:00:00"/>
    <x v="186"/>
    <x v="1"/>
    <n v="283.92"/>
    <n v="4.7619047620000003"/>
    <n v="14.196"/>
    <n v="5.5"/>
    <n v="283.92"/>
    <x v="4"/>
    <n v="2"/>
    <x v="6"/>
  </r>
  <r>
    <s v="549-03-9315"/>
    <x v="2"/>
    <s v="Mandalay"/>
    <x v="1"/>
    <s v="Male"/>
    <x v="5"/>
    <n v="94.87"/>
    <n v="8"/>
    <n v="37.948"/>
    <n v="796.90800000000002"/>
    <d v="2019-12-02T00:00:00"/>
    <x v="187"/>
    <x v="0"/>
    <n v="758.96"/>
    <n v="4.7619047620000003"/>
    <n v="37.948"/>
    <n v="8.6999999999999993"/>
    <n v="758.96"/>
    <x v="8"/>
    <n v="12"/>
    <x v="4"/>
  </r>
  <r>
    <s v="790-29-1172"/>
    <x v="2"/>
    <s v="Mandalay"/>
    <x v="1"/>
    <s v="Female"/>
    <x v="4"/>
    <n v="57.34"/>
    <n v="3"/>
    <n v="8.6010000000000009"/>
    <n v="180.62100000000001"/>
    <d v="2019-10-03T00:00:00"/>
    <x v="188"/>
    <x v="2"/>
    <n v="172.02"/>
    <n v="4.7619047620000003"/>
    <n v="8.6010000000000009"/>
    <n v="7.9"/>
    <n v="172.02"/>
    <x v="5"/>
    <n v="10"/>
    <x v="6"/>
  </r>
  <r>
    <s v="239-36-3640"/>
    <x v="2"/>
    <s v="Mandalay"/>
    <x v="1"/>
    <s v="Male"/>
    <x v="1"/>
    <n v="45.35"/>
    <n v="6"/>
    <n v="13.605"/>
    <n v="285.70499999999998"/>
    <d v="2019-01-31T00:00:00"/>
    <x v="189"/>
    <x v="0"/>
    <n v="272.10000000000002"/>
    <n v="4.7619047620000003"/>
    <n v="13.605"/>
    <n v="6.1"/>
    <n v="272.10000000000002"/>
    <x v="3"/>
    <n v="1"/>
    <x v="6"/>
  </r>
  <r>
    <s v="468-01-2051"/>
    <x v="2"/>
    <s v="Mandalay"/>
    <x v="1"/>
    <s v="Male"/>
    <x v="4"/>
    <n v="62.08"/>
    <n v="7"/>
    <n v="21.728000000000002"/>
    <n v="456.28800000000001"/>
    <d v="2019-06-03T00:00:00"/>
    <x v="190"/>
    <x v="0"/>
    <n v="434.56"/>
    <n v="4.7619047620000003"/>
    <n v="21.728000000000002"/>
    <n v="5.4"/>
    <n v="434.56"/>
    <x v="6"/>
    <n v="6"/>
    <x v="4"/>
  </r>
  <r>
    <s v="389-25-3394"/>
    <x v="1"/>
    <s v="Naypyitaw"/>
    <x v="1"/>
    <s v="Male"/>
    <x v="1"/>
    <n v="11.81"/>
    <n v="5"/>
    <n v="2.9525000000000001"/>
    <n v="62.002499999999998"/>
    <d v="2019-02-17T00:00:00"/>
    <x v="191"/>
    <x v="1"/>
    <n v="59.05"/>
    <n v="4.7619047620000003"/>
    <n v="2.9525000000000001"/>
    <n v="9.4"/>
    <n v="59.050000000000004"/>
    <x v="4"/>
    <n v="2"/>
    <x v="2"/>
  </r>
  <r>
    <s v="279-62-1445"/>
    <x v="1"/>
    <s v="Naypyitaw"/>
    <x v="0"/>
    <s v="Female"/>
    <x v="5"/>
    <n v="12.54"/>
    <n v="1"/>
    <n v="0.627"/>
    <n v="13.167"/>
    <d v="2019-02-21T00:00:00"/>
    <x v="192"/>
    <x v="1"/>
    <n v="12.54"/>
    <n v="4.7619047620000003"/>
    <n v="0.627"/>
    <n v="8.1999999999999993"/>
    <n v="12.54"/>
    <x v="4"/>
    <n v="2"/>
    <x v="6"/>
  </r>
  <r>
    <s v="213-72-6612"/>
    <x v="0"/>
    <s v="Yangon"/>
    <x v="1"/>
    <s v="Male"/>
    <x v="4"/>
    <n v="43.25"/>
    <n v="2"/>
    <n v="4.3250000000000002"/>
    <n v="90.825000000000003"/>
    <d v="2019-03-20T00:00:00"/>
    <x v="193"/>
    <x v="1"/>
    <n v="86.5"/>
    <n v="4.7619047620000003"/>
    <n v="4.3250000000000002"/>
    <n v="6.2"/>
    <n v="86.5"/>
    <x v="2"/>
    <n v="3"/>
    <x v="0"/>
  </r>
  <r>
    <s v="746-68-6593"/>
    <x v="1"/>
    <s v="Naypyitaw"/>
    <x v="0"/>
    <s v="Female"/>
    <x v="3"/>
    <n v="87.16"/>
    <n v="2"/>
    <n v="8.7159999999999993"/>
    <n v="183.036"/>
    <d v="2019-11-01T00:00:00"/>
    <x v="194"/>
    <x v="2"/>
    <n v="174.32"/>
    <n v="4.7619047620000003"/>
    <n v="8.7159999999999993"/>
    <n v="9.6999999999999993"/>
    <n v="174.32"/>
    <x v="10"/>
    <n v="11"/>
    <x v="3"/>
  </r>
  <r>
    <s v="836-82-5858"/>
    <x v="2"/>
    <s v="Mandalay"/>
    <x v="0"/>
    <s v="Male"/>
    <x v="0"/>
    <n v="69.37"/>
    <n v="9"/>
    <n v="31.2165"/>
    <n v="655.54650000000004"/>
    <d v="2019-01-26T00:00:00"/>
    <x v="195"/>
    <x v="0"/>
    <n v="624.33000000000004"/>
    <n v="4.7619047620000003"/>
    <n v="31.2165"/>
    <n v="4"/>
    <n v="624.33000000000004"/>
    <x v="3"/>
    <n v="1"/>
    <x v="1"/>
  </r>
  <r>
    <s v="583-72-1480"/>
    <x v="1"/>
    <s v="Naypyitaw"/>
    <x v="0"/>
    <s v="Male"/>
    <x v="1"/>
    <n v="37.06"/>
    <n v="4"/>
    <n v="7.4119999999999999"/>
    <n v="155.65199999999999"/>
    <d v="2019-01-31T00:00:00"/>
    <x v="75"/>
    <x v="0"/>
    <n v="148.24"/>
    <n v="4.7619047620000003"/>
    <n v="7.4119999999999999"/>
    <n v="9.6999999999999993"/>
    <n v="148.24"/>
    <x v="3"/>
    <n v="1"/>
    <x v="6"/>
  </r>
  <r>
    <s v="466-61-5506"/>
    <x v="2"/>
    <s v="Mandalay"/>
    <x v="0"/>
    <s v="Female"/>
    <x v="1"/>
    <n v="90.7"/>
    <n v="6"/>
    <n v="27.21"/>
    <n v="571.41"/>
    <d v="2019-02-26T00:00:00"/>
    <x v="196"/>
    <x v="1"/>
    <n v="544.20000000000005"/>
    <n v="4.7619047620000003"/>
    <n v="27.21"/>
    <n v="5.3"/>
    <n v="544.20000000000005"/>
    <x v="4"/>
    <n v="2"/>
    <x v="5"/>
  </r>
  <r>
    <s v="721-86-6247"/>
    <x v="0"/>
    <s v="Yangon"/>
    <x v="1"/>
    <s v="Female"/>
    <x v="2"/>
    <n v="63.42"/>
    <n v="8"/>
    <n v="25.367999999999999"/>
    <n v="532.72799999999995"/>
    <d v="2019-11-03T00:00:00"/>
    <x v="197"/>
    <x v="0"/>
    <n v="507.36"/>
    <n v="4.7619047620000003"/>
    <n v="25.367999999999999"/>
    <n v="7.4"/>
    <n v="507.36"/>
    <x v="10"/>
    <n v="11"/>
    <x v="2"/>
  </r>
  <r>
    <s v="289-65-5721"/>
    <x v="2"/>
    <s v="Mandalay"/>
    <x v="1"/>
    <s v="Female"/>
    <x v="5"/>
    <n v="81.37"/>
    <n v="2"/>
    <n v="8.1370000000000005"/>
    <n v="170.87700000000001"/>
    <d v="2019-01-26T00:00:00"/>
    <x v="198"/>
    <x v="1"/>
    <n v="162.74"/>
    <n v="4.7619047620000003"/>
    <n v="8.1370000000000005"/>
    <n v="6.5"/>
    <n v="162.74"/>
    <x v="3"/>
    <n v="1"/>
    <x v="1"/>
  </r>
  <r>
    <s v="545-46-3100"/>
    <x v="2"/>
    <s v="Mandalay"/>
    <x v="0"/>
    <s v="Female"/>
    <x v="1"/>
    <n v="10.59"/>
    <n v="3"/>
    <n v="1.5885"/>
    <n v="33.358499999999999"/>
    <d v="2019-12-03T00:00:00"/>
    <x v="199"/>
    <x v="2"/>
    <n v="31.77"/>
    <n v="4.7619047620000003"/>
    <n v="1.5885"/>
    <n v="8.6999999999999993"/>
    <n v="31.77"/>
    <x v="8"/>
    <n v="12"/>
    <x v="5"/>
  </r>
  <r>
    <s v="418-02-5978"/>
    <x v="2"/>
    <s v="Mandalay"/>
    <x v="1"/>
    <s v="Female"/>
    <x v="0"/>
    <n v="84.09"/>
    <n v="9"/>
    <n v="37.840499999999999"/>
    <n v="794.65049999999997"/>
    <d v="2019-11-02T00:00:00"/>
    <x v="200"/>
    <x v="1"/>
    <n v="756.81"/>
    <n v="4.7619047620000003"/>
    <n v="37.840499999999999"/>
    <n v="8"/>
    <n v="756.81000000000006"/>
    <x v="10"/>
    <n v="11"/>
    <x v="1"/>
  </r>
  <r>
    <s v="269-04-5750"/>
    <x v="2"/>
    <s v="Mandalay"/>
    <x v="0"/>
    <s v="Male"/>
    <x v="5"/>
    <n v="73.819999999999993"/>
    <n v="4"/>
    <n v="14.763999999999999"/>
    <n v="310.04399999999998"/>
    <d v="2019-02-21T00:00:00"/>
    <x v="201"/>
    <x v="1"/>
    <n v="295.27999999999997"/>
    <n v="4.7619047620000003"/>
    <n v="14.763999999999999"/>
    <n v="6.7"/>
    <n v="295.27999999999997"/>
    <x v="4"/>
    <n v="2"/>
    <x v="6"/>
  </r>
  <r>
    <s v="157-13-5295"/>
    <x v="0"/>
    <s v="Yangon"/>
    <x v="0"/>
    <s v="Male"/>
    <x v="0"/>
    <n v="51.94"/>
    <n v="10"/>
    <n v="25.97"/>
    <n v="545.37"/>
    <d v="2019-09-03T00:00:00"/>
    <x v="202"/>
    <x v="0"/>
    <n v="519.4"/>
    <n v="4.7619047620000003"/>
    <n v="25.97"/>
    <n v="6.5"/>
    <n v="519.4"/>
    <x v="7"/>
    <n v="9"/>
    <x v="5"/>
  </r>
  <r>
    <s v="645-78-8093"/>
    <x v="0"/>
    <s v="Yangon"/>
    <x v="1"/>
    <s v="Female"/>
    <x v="3"/>
    <n v="93.14"/>
    <n v="2"/>
    <n v="9.3140000000000001"/>
    <n v="195.59399999999999"/>
    <d v="2019-01-20T00:00:00"/>
    <x v="203"/>
    <x v="0"/>
    <n v="186.28"/>
    <n v="4.7619047620000003"/>
    <n v="9.3140000000000001"/>
    <n v="4.0999999999999996"/>
    <n v="186.28"/>
    <x v="3"/>
    <n v="1"/>
    <x v="2"/>
  </r>
  <r>
    <s v="211-30-9270"/>
    <x v="1"/>
    <s v="Naypyitaw"/>
    <x v="1"/>
    <s v="Male"/>
    <x v="0"/>
    <n v="17.41"/>
    <n v="5"/>
    <n v="4.3525"/>
    <n v="91.402500000000003"/>
    <d v="2019-02-28T00:00:00"/>
    <x v="204"/>
    <x v="2"/>
    <n v="87.05"/>
    <n v="4.7619047620000003"/>
    <n v="4.3525"/>
    <n v="4.9000000000000004"/>
    <n v="87.05"/>
    <x v="4"/>
    <n v="2"/>
    <x v="6"/>
  </r>
  <r>
    <s v="755-12-3214"/>
    <x v="1"/>
    <s v="Naypyitaw"/>
    <x v="0"/>
    <s v="Female"/>
    <x v="5"/>
    <n v="44.22"/>
    <n v="5"/>
    <n v="11.055"/>
    <n v="232.155"/>
    <d v="2019-05-03T00:00:00"/>
    <x v="205"/>
    <x v="2"/>
    <n v="221.1"/>
    <n v="4.7619047620000003"/>
    <n v="11.055"/>
    <n v="8.6"/>
    <n v="221.1"/>
    <x v="0"/>
    <n v="5"/>
    <x v="3"/>
  </r>
  <r>
    <s v="346-84-3103"/>
    <x v="2"/>
    <s v="Mandalay"/>
    <x v="0"/>
    <s v="Female"/>
    <x v="1"/>
    <n v="13.22"/>
    <n v="5"/>
    <n v="3.3050000000000002"/>
    <n v="69.405000000000001"/>
    <d v="2019-02-03T00:00:00"/>
    <x v="206"/>
    <x v="1"/>
    <n v="66.099999999999994"/>
    <n v="4.7619047620000003"/>
    <n v="3.3050000000000002"/>
    <n v="4.3"/>
    <n v="66.100000000000009"/>
    <x v="4"/>
    <n v="2"/>
    <x v="2"/>
  </r>
  <r>
    <s v="478-06-7835"/>
    <x v="0"/>
    <s v="Yangon"/>
    <x v="1"/>
    <s v="Male"/>
    <x v="5"/>
    <n v="89.69"/>
    <n v="1"/>
    <n v="4.4844999999999997"/>
    <n v="94.174499999999995"/>
    <d v="2019-11-01T00:00:00"/>
    <x v="207"/>
    <x v="0"/>
    <n v="89.69"/>
    <n v="4.7619047620000003"/>
    <n v="4.4844999999999997"/>
    <n v="4.9000000000000004"/>
    <n v="89.69"/>
    <x v="10"/>
    <n v="11"/>
    <x v="3"/>
  </r>
  <r>
    <s v="540-11-4336"/>
    <x v="0"/>
    <s v="Yangon"/>
    <x v="1"/>
    <s v="Male"/>
    <x v="4"/>
    <n v="24.94"/>
    <n v="9"/>
    <n v="11.223000000000001"/>
    <n v="235.68299999999999"/>
    <d v="2019-11-01T00:00:00"/>
    <x v="208"/>
    <x v="2"/>
    <n v="224.46"/>
    <n v="4.7619047620000003"/>
    <n v="11.223000000000001"/>
    <n v="5.6"/>
    <n v="224.46"/>
    <x v="10"/>
    <n v="11"/>
    <x v="3"/>
  </r>
  <r>
    <s v="448-81-5016"/>
    <x v="0"/>
    <s v="Yangon"/>
    <x v="1"/>
    <s v="Male"/>
    <x v="0"/>
    <n v="59.77"/>
    <n v="2"/>
    <n v="5.9770000000000003"/>
    <n v="125.517"/>
    <d v="2019-11-03T00:00:00"/>
    <x v="209"/>
    <x v="2"/>
    <n v="119.54"/>
    <n v="4.7619047620000003"/>
    <n v="5.9770000000000003"/>
    <n v="5.8"/>
    <n v="119.54"/>
    <x v="10"/>
    <n v="11"/>
    <x v="2"/>
  </r>
  <r>
    <s v="142-72-4741"/>
    <x v="1"/>
    <s v="Naypyitaw"/>
    <x v="0"/>
    <s v="Male"/>
    <x v="5"/>
    <n v="93.2"/>
    <n v="2"/>
    <n v="9.32"/>
    <n v="195.72"/>
    <d v="2019-02-28T00:00:00"/>
    <x v="78"/>
    <x v="2"/>
    <n v="186.4"/>
    <n v="4.7619047620000003"/>
    <n v="9.32"/>
    <n v="6"/>
    <n v="186.4"/>
    <x v="4"/>
    <n v="2"/>
    <x v="6"/>
  </r>
  <r>
    <s v="217-58-1179"/>
    <x v="0"/>
    <s v="Yangon"/>
    <x v="0"/>
    <s v="Male"/>
    <x v="2"/>
    <n v="62.65"/>
    <n v="4"/>
    <n v="12.53"/>
    <n v="263.13"/>
    <d v="2019-05-01T00:00:00"/>
    <x v="210"/>
    <x v="1"/>
    <n v="250.6"/>
    <n v="4.7619047620000003"/>
    <n v="12.53"/>
    <n v="4.2"/>
    <n v="250.6"/>
    <x v="0"/>
    <n v="5"/>
    <x v="0"/>
  </r>
  <r>
    <s v="376-02-8238"/>
    <x v="2"/>
    <s v="Mandalay"/>
    <x v="1"/>
    <s v="Male"/>
    <x v="2"/>
    <n v="93.87"/>
    <n v="8"/>
    <n v="37.548000000000002"/>
    <n v="788.50800000000004"/>
    <d v="2019-02-02T00:00:00"/>
    <x v="211"/>
    <x v="2"/>
    <n v="750.96"/>
    <n v="4.7619047620000003"/>
    <n v="37.548000000000002"/>
    <n v="8.3000000000000007"/>
    <n v="750.96"/>
    <x v="4"/>
    <n v="2"/>
    <x v="1"/>
  </r>
  <r>
    <s v="530-90-9855"/>
    <x v="0"/>
    <s v="Yangon"/>
    <x v="0"/>
    <s v="Male"/>
    <x v="2"/>
    <n v="47.59"/>
    <n v="8"/>
    <n v="19.036000000000001"/>
    <n v="399.75599999999997"/>
    <d v="2019-01-01T00:00:00"/>
    <x v="212"/>
    <x v="1"/>
    <n v="380.72"/>
    <n v="4.7619047620000003"/>
    <n v="19.036000000000001"/>
    <n v="5.7"/>
    <n v="380.72"/>
    <x v="3"/>
    <n v="1"/>
    <x v="5"/>
  </r>
  <r>
    <s v="866-05-7563"/>
    <x v="2"/>
    <s v="Mandalay"/>
    <x v="0"/>
    <s v="Female"/>
    <x v="1"/>
    <n v="81.400000000000006"/>
    <n v="3"/>
    <n v="12.21"/>
    <n v="256.41000000000003"/>
    <d v="2019-09-02T00:00:00"/>
    <x v="213"/>
    <x v="1"/>
    <n v="244.2"/>
    <n v="4.7619047620000003"/>
    <n v="12.21"/>
    <n v="4.8"/>
    <n v="244.20000000000002"/>
    <x v="7"/>
    <n v="9"/>
    <x v="4"/>
  </r>
  <r>
    <s v="604-70-6476"/>
    <x v="0"/>
    <s v="Yangon"/>
    <x v="0"/>
    <s v="Male"/>
    <x v="5"/>
    <n v="17.940000000000001"/>
    <n v="5"/>
    <n v="4.4850000000000003"/>
    <n v="94.185000000000002"/>
    <d v="2019-01-23T00:00:00"/>
    <x v="214"/>
    <x v="0"/>
    <n v="89.7"/>
    <n v="4.7619047620000003"/>
    <n v="4.4850000000000003"/>
    <n v="6.8"/>
    <n v="89.7"/>
    <x v="3"/>
    <n v="1"/>
    <x v="0"/>
  </r>
  <r>
    <s v="799-71-1548"/>
    <x v="0"/>
    <s v="Yangon"/>
    <x v="0"/>
    <s v="Male"/>
    <x v="1"/>
    <n v="77.72"/>
    <n v="4"/>
    <n v="15.544"/>
    <n v="326.42399999999998"/>
    <d v="2019-07-01T00:00:00"/>
    <x v="215"/>
    <x v="2"/>
    <n v="310.88"/>
    <n v="4.7619047620000003"/>
    <n v="15.544"/>
    <n v="8.8000000000000007"/>
    <n v="310.88"/>
    <x v="9"/>
    <n v="7"/>
    <x v="4"/>
  </r>
  <r>
    <s v="785-13-7708"/>
    <x v="2"/>
    <s v="Mandalay"/>
    <x v="1"/>
    <s v="Male"/>
    <x v="4"/>
    <n v="73.06"/>
    <n v="7"/>
    <n v="25.571000000000002"/>
    <n v="536.99099999999999"/>
    <d v="2019-01-14T00:00:00"/>
    <x v="216"/>
    <x v="2"/>
    <n v="511.42"/>
    <n v="4.7619047620000003"/>
    <n v="25.571000000000002"/>
    <n v="4.2"/>
    <n v="511.42"/>
    <x v="3"/>
    <n v="1"/>
    <x v="4"/>
  </r>
  <r>
    <s v="845-51-0542"/>
    <x v="2"/>
    <s v="Mandalay"/>
    <x v="0"/>
    <s v="Male"/>
    <x v="4"/>
    <n v="46.55"/>
    <n v="9"/>
    <n v="20.947500000000002"/>
    <n v="439.89749999999998"/>
    <d v="2019-02-02T00:00:00"/>
    <x v="217"/>
    <x v="0"/>
    <n v="418.95"/>
    <n v="4.7619047620000003"/>
    <n v="20.947500000000002"/>
    <n v="6.4"/>
    <n v="418.95"/>
    <x v="4"/>
    <n v="2"/>
    <x v="1"/>
  </r>
  <r>
    <s v="662-47-5456"/>
    <x v="1"/>
    <s v="Naypyitaw"/>
    <x v="0"/>
    <s v="Male"/>
    <x v="5"/>
    <n v="35.19"/>
    <n v="10"/>
    <n v="17.594999999999999"/>
    <n v="369.495"/>
    <d v="2019-03-17T00:00:00"/>
    <x v="216"/>
    <x v="2"/>
    <n v="351.9"/>
    <n v="4.7619047620000003"/>
    <n v="17.594999999999999"/>
    <n v="8.4"/>
    <n v="351.9"/>
    <x v="2"/>
    <n v="3"/>
    <x v="2"/>
  </r>
  <r>
    <s v="883-17-4236"/>
    <x v="1"/>
    <s v="Naypyitaw"/>
    <x v="1"/>
    <s v="Female"/>
    <x v="3"/>
    <n v="14.39"/>
    <n v="2"/>
    <n v="1.4390000000000001"/>
    <n v="30.219000000000001"/>
    <d v="2019-02-03T00:00:00"/>
    <x v="143"/>
    <x v="2"/>
    <n v="28.78"/>
    <n v="4.7619047620000003"/>
    <n v="1.4390000000000001"/>
    <n v="7.2"/>
    <n v="28.78"/>
    <x v="4"/>
    <n v="2"/>
    <x v="2"/>
  </r>
  <r>
    <s v="290-68-2984"/>
    <x v="0"/>
    <s v="Yangon"/>
    <x v="1"/>
    <s v="Male"/>
    <x v="2"/>
    <n v="23.75"/>
    <n v="4"/>
    <n v="4.75"/>
    <n v="99.75"/>
    <d v="2019-03-16T00:00:00"/>
    <x v="218"/>
    <x v="1"/>
    <n v="95"/>
    <n v="4.7619047620000003"/>
    <n v="4.75"/>
    <n v="5.2"/>
    <n v="95"/>
    <x v="2"/>
    <n v="3"/>
    <x v="1"/>
  </r>
  <r>
    <s v="704-11-6354"/>
    <x v="0"/>
    <s v="Yangon"/>
    <x v="0"/>
    <s v="Male"/>
    <x v="2"/>
    <n v="58.9"/>
    <n v="8"/>
    <n v="23.56"/>
    <n v="494.76"/>
    <d v="2019-06-01T00:00:00"/>
    <x v="219"/>
    <x v="1"/>
    <n v="471.2"/>
    <n v="4.7619047620000003"/>
    <n v="23.56"/>
    <n v="8.9"/>
    <n v="471.2"/>
    <x v="6"/>
    <n v="6"/>
    <x v="1"/>
  </r>
  <r>
    <s v="110-48-7033"/>
    <x v="2"/>
    <s v="Mandalay"/>
    <x v="0"/>
    <s v="Male"/>
    <x v="5"/>
    <n v="32.619999999999997"/>
    <n v="4"/>
    <n v="6.524"/>
    <n v="137.00399999999999"/>
    <d v="2019-01-29T00:00:00"/>
    <x v="146"/>
    <x v="1"/>
    <n v="130.47999999999999"/>
    <n v="4.7619047620000003"/>
    <n v="6.524"/>
    <n v="9"/>
    <n v="130.47999999999999"/>
    <x v="3"/>
    <n v="1"/>
    <x v="5"/>
  </r>
  <r>
    <s v="366-93-0948"/>
    <x v="0"/>
    <s v="Yangon"/>
    <x v="0"/>
    <s v="Male"/>
    <x v="1"/>
    <n v="66.349999999999994"/>
    <n v="1"/>
    <n v="3.3174999999999999"/>
    <n v="69.667500000000004"/>
    <d v="2019-01-31T00:00:00"/>
    <x v="220"/>
    <x v="2"/>
    <n v="66.349999999999994"/>
    <n v="4.7619047620000003"/>
    <n v="3.3174999999999999"/>
    <n v="9.6999999999999993"/>
    <n v="66.349999999999994"/>
    <x v="3"/>
    <n v="1"/>
    <x v="6"/>
  </r>
  <r>
    <s v="729-09-9681"/>
    <x v="0"/>
    <s v="Yangon"/>
    <x v="0"/>
    <s v="Male"/>
    <x v="2"/>
    <n v="25.91"/>
    <n v="6"/>
    <n v="7.7729999999999997"/>
    <n v="163.233"/>
    <d v="2019-05-02T00:00:00"/>
    <x v="91"/>
    <x v="0"/>
    <n v="155.46"/>
    <n v="4.7619047620000003"/>
    <n v="7.7729999999999997"/>
    <n v="8.6999999999999993"/>
    <n v="155.46"/>
    <x v="0"/>
    <n v="5"/>
    <x v="6"/>
  </r>
  <r>
    <s v="151-16-1484"/>
    <x v="0"/>
    <s v="Yangon"/>
    <x v="0"/>
    <s v="Male"/>
    <x v="1"/>
    <n v="32.25"/>
    <n v="4"/>
    <n v="6.45"/>
    <n v="135.44999999999999"/>
    <d v="2019-02-13T00:00:00"/>
    <x v="192"/>
    <x v="0"/>
    <n v="129"/>
    <n v="4.7619047620000003"/>
    <n v="6.45"/>
    <n v="6.5"/>
    <n v="129"/>
    <x v="4"/>
    <n v="2"/>
    <x v="0"/>
  </r>
  <r>
    <s v="380-94-4661"/>
    <x v="1"/>
    <s v="Naypyitaw"/>
    <x v="0"/>
    <s v="Male"/>
    <x v="1"/>
    <n v="65.94"/>
    <n v="4"/>
    <n v="13.188000000000001"/>
    <n v="276.94799999999998"/>
    <d v="2019-07-02T00:00:00"/>
    <x v="137"/>
    <x v="2"/>
    <n v="263.76"/>
    <n v="4.7619047620000003"/>
    <n v="13.188000000000001"/>
    <n v="6.9"/>
    <n v="263.76"/>
    <x v="9"/>
    <n v="7"/>
    <x v="5"/>
  </r>
  <r>
    <s v="850-41-9669"/>
    <x v="0"/>
    <s v="Yangon"/>
    <x v="1"/>
    <s v="Female"/>
    <x v="1"/>
    <n v="75.06"/>
    <n v="9"/>
    <n v="33.777000000000001"/>
    <n v="709.31700000000001"/>
    <d v="2019-03-19T00:00:00"/>
    <x v="221"/>
    <x v="0"/>
    <n v="675.54"/>
    <n v="4.7619047620000003"/>
    <n v="33.777000000000001"/>
    <n v="6.2"/>
    <n v="675.54"/>
    <x v="2"/>
    <n v="3"/>
    <x v="5"/>
  </r>
  <r>
    <s v="821-07-3596"/>
    <x v="1"/>
    <s v="Naypyitaw"/>
    <x v="1"/>
    <s v="Female"/>
    <x v="5"/>
    <n v="16.45"/>
    <n v="4"/>
    <n v="3.29"/>
    <n v="69.09"/>
    <d v="2019-07-03T00:00:00"/>
    <x v="222"/>
    <x v="0"/>
    <n v="65.8"/>
    <n v="4.7619047620000003"/>
    <n v="3.29"/>
    <n v="5.6"/>
    <n v="65.8"/>
    <x v="9"/>
    <n v="7"/>
    <x v="0"/>
  </r>
  <r>
    <s v="655-85-5130"/>
    <x v="2"/>
    <s v="Mandalay"/>
    <x v="0"/>
    <s v="Female"/>
    <x v="5"/>
    <n v="38.299999999999997"/>
    <n v="4"/>
    <n v="7.66"/>
    <n v="160.86000000000001"/>
    <d v="2019-03-13T00:00:00"/>
    <x v="223"/>
    <x v="1"/>
    <n v="153.19999999999999"/>
    <n v="4.7619047620000003"/>
    <n v="7.66"/>
    <n v="5.7"/>
    <n v="153.19999999999999"/>
    <x v="2"/>
    <n v="3"/>
    <x v="0"/>
  </r>
  <r>
    <s v="447-15-7839"/>
    <x v="0"/>
    <s v="Yangon"/>
    <x v="0"/>
    <s v="Female"/>
    <x v="3"/>
    <n v="22.24"/>
    <n v="10"/>
    <n v="11.12"/>
    <n v="233.52"/>
    <d v="2019-09-02T00:00:00"/>
    <x v="224"/>
    <x v="1"/>
    <n v="222.4"/>
    <n v="4.7619047620000003"/>
    <n v="11.12"/>
    <n v="4.2"/>
    <n v="222.39999999999998"/>
    <x v="7"/>
    <n v="9"/>
    <x v="4"/>
  </r>
  <r>
    <s v="154-74-7179"/>
    <x v="2"/>
    <s v="Mandalay"/>
    <x v="1"/>
    <s v="Male"/>
    <x v="3"/>
    <n v="54.45"/>
    <n v="1"/>
    <n v="2.7225000000000001"/>
    <n v="57.172499999999999"/>
    <d v="2019-02-26T00:00:00"/>
    <x v="225"/>
    <x v="0"/>
    <n v="54.45"/>
    <n v="4.7619047620000003"/>
    <n v="2.7225000000000001"/>
    <n v="7.9"/>
    <n v="54.45"/>
    <x v="4"/>
    <n v="2"/>
    <x v="5"/>
  </r>
  <r>
    <s v="253-12-6086"/>
    <x v="0"/>
    <s v="Yangon"/>
    <x v="0"/>
    <s v="Female"/>
    <x v="3"/>
    <n v="98.4"/>
    <n v="7"/>
    <n v="34.44"/>
    <n v="723.24"/>
    <d v="2019-12-03T00:00:00"/>
    <x v="31"/>
    <x v="2"/>
    <n v="688.8"/>
    <n v="4.7619047620000003"/>
    <n v="34.44"/>
    <n v="8.6999999999999993"/>
    <n v="688.80000000000007"/>
    <x v="8"/>
    <n v="12"/>
    <x v="5"/>
  </r>
  <r>
    <s v="808-65-0703"/>
    <x v="1"/>
    <s v="Naypyitaw"/>
    <x v="1"/>
    <s v="Male"/>
    <x v="2"/>
    <n v="35.47"/>
    <n v="4"/>
    <n v="7.0940000000000003"/>
    <n v="148.97399999999999"/>
    <d v="2019-03-14T00:00:00"/>
    <x v="226"/>
    <x v="2"/>
    <n v="141.88"/>
    <n v="4.7619047620000003"/>
    <n v="7.0940000000000003"/>
    <n v="6.9"/>
    <n v="141.88"/>
    <x v="2"/>
    <n v="3"/>
    <x v="6"/>
  </r>
  <r>
    <s v="571-94-0759"/>
    <x v="2"/>
    <s v="Mandalay"/>
    <x v="0"/>
    <s v="Female"/>
    <x v="4"/>
    <n v="74.599999999999994"/>
    <n v="10"/>
    <n v="37.299999999999997"/>
    <n v="783.3"/>
    <d v="2019-08-01T00:00:00"/>
    <x v="227"/>
    <x v="1"/>
    <n v="746"/>
    <n v="4.7619047620000003"/>
    <n v="37.299999999999997"/>
    <n v="9.5"/>
    <n v="746"/>
    <x v="1"/>
    <n v="8"/>
    <x v="6"/>
  </r>
  <r>
    <s v="144-51-6085"/>
    <x v="0"/>
    <s v="Yangon"/>
    <x v="0"/>
    <s v="Male"/>
    <x v="2"/>
    <n v="70.739999999999995"/>
    <n v="4"/>
    <n v="14.148"/>
    <n v="297.108"/>
    <d v="2019-05-01T00:00:00"/>
    <x v="228"/>
    <x v="2"/>
    <n v="282.95999999999998"/>
    <n v="4.7619047620000003"/>
    <n v="14.148"/>
    <n v="4.4000000000000004"/>
    <n v="282.95999999999998"/>
    <x v="0"/>
    <n v="5"/>
    <x v="0"/>
  </r>
  <r>
    <s v="731-14-2199"/>
    <x v="0"/>
    <s v="Yangon"/>
    <x v="0"/>
    <s v="Female"/>
    <x v="2"/>
    <n v="35.54"/>
    <n v="10"/>
    <n v="17.77"/>
    <n v="373.17"/>
    <d v="2019-04-01T00:00:00"/>
    <x v="229"/>
    <x v="0"/>
    <n v="355.4"/>
    <n v="4.7619047620000003"/>
    <n v="17.77"/>
    <n v="7"/>
    <n v="355.4"/>
    <x v="11"/>
    <n v="4"/>
    <x v="4"/>
  </r>
  <r>
    <s v="783-09-1637"/>
    <x v="2"/>
    <s v="Mandalay"/>
    <x v="1"/>
    <s v="Female"/>
    <x v="3"/>
    <n v="67.430000000000007"/>
    <n v="5"/>
    <n v="16.857500000000002"/>
    <n v="354.00749999999999"/>
    <d v="2019-06-03T00:00:00"/>
    <x v="230"/>
    <x v="0"/>
    <n v="337.15"/>
    <n v="4.7619047620000003"/>
    <n v="16.857500000000002"/>
    <n v="6.3"/>
    <n v="337.15000000000003"/>
    <x v="6"/>
    <n v="6"/>
    <x v="4"/>
  </r>
  <r>
    <s v="687-15-1097"/>
    <x v="1"/>
    <s v="Naypyitaw"/>
    <x v="0"/>
    <s v="Female"/>
    <x v="0"/>
    <n v="21.12"/>
    <n v="2"/>
    <n v="2.1120000000000001"/>
    <n v="44.351999999999997"/>
    <d v="2019-03-01T00:00:00"/>
    <x v="151"/>
    <x v="1"/>
    <n v="42.24"/>
    <n v="4.7619047620000003"/>
    <n v="2.1120000000000001"/>
    <n v="9.6999999999999993"/>
    <n v="42.24"/>
    <x v="2"/>
    <n v="3"/>
    <x v="3"/>
  </r>
  <r>
    <s v="126-54-1082"/>
    <x v="0"/>
    <s v="Yangon"/>
    <x v="0"/>
    <s v="Female"/>
    <x v="2"/>
    <n v="21.54"/>
    <n v="9"/>
    <n v="9.6929999999999996"/>
    <n v="203.553"/>
    <d v="2019-07-01T00:00:00"/>
    <x v="231"/>
    <x v="2"/>
    <n v="193.86"/>
    <n v="4.7619047620000003"/>
    <n v="9.6929999999999996"/>
    <n v="8.8000000000000007"/>
    <n v="193.85999999999999"/>
    <x v="9"/>
    <n v="7"/>
    <x v="4"/>
  </r>
  <r>
    <s v="633-91-1052"/>
    <x v="0"/>
    <s v="Yangon"/>
    <x v="1"/>
    <s v="Female"/>
    <x v="2"/>
    <n v="12.03"/>
    <n v="2"/>
    <n v="1.2030000000000001"/>
    <n v="25.263000000000002"/>
    <d v="2019-01-27T00:00:00"/>
    <x v="232"/>
    <x v="1"/>
    <n v="24.06"/>
    <n v="4.7619047620000003"/>
    <n v="1.2030000000000001"/>
    <n v="5.0999999999999996"/>
    <n v="24.06"/>
    <x v="3"/>
    <n v="1"/>
    <x v="2"/>
  </r>
  <r>
    <s v="477-24-6490"/>
    <x v="2"/>
    <s v="Mandalay"/>
    <x v="1"/>
    <s v="Female"/>
    <x v="0"/>
    <n v="99.71"/>
    <n v="6"/>
    <n v="29.913"/>
    <n v="628.173"/>
    <d v="2019-02-26T00:00:00"/>
    <x v="233"/>
    <x v="0"/>
    <n v="598.26"/>
    <n v="4.7619047620000003"/>
    <n v="29.913"/>
    <n v="7.9"/>
    <n v="598.26"/>
    <x v="4"/>
    <n v="2"/>
    <x v="5"/>
  </r>
  <r>
    <s v="566-19-5475"/>
    <x v="2"/>
    <s v="Mandalay"/>
    <x v="1"/>
    <s v="Male"/>
    <x v="5"/>
    <n v="47.97"/>
    <n v="7"/>
    <n v="16.7895"/>
    <n v="352.5795"/>
    <d v="2019-07-01T00:00:00"/>
    <x v="234"/>
    <x v="1"/>
    <n v="335.79"/>
    <n v="4.7619047620000003"/>
    <n v="16.7895"/>
    <n v="6.2"/>
    <n v="335.78999999999996"/>
    <x v="9"/>
    <n v="7"/>
    <x v="4"/>
  </r>
  <r>
    <s v="526-86-8552"/>
    <x v="1"/>
    <s v="Naypyitaw"/>
    <x v="0"/>
    <s v="Female"/>
    <x v="2"/>
    <n v="21.82"/>
    <n v="10"/>
    <n v="10.91"/>
    <n v="229.11"/>
    <d v="2019-07-01T00:00:00"/>
    <x v="24"/>
    <x v="1"/>
    <n v="218.2"/>
    <n v="4.7619047620000003"/>
    <n v="10.91"/>
    <n v="7.1"/>
    <n v="218.2"/>
    <x v="9"/>
    <n v="7"/>
    <x v="4"/>
  </r>
  <r>
    <s v="376-56-3573"/>
    <x v="1"/>
    <s v="Naypyitaw"/>
    <x v="1"/>
    <s v="Female"/>
    <x v="5"/>
    <n v="95.42"/>
    <n v="4"/>
    <n v="19.084"/>
    <n v="400.76400000000001"/>
    <d v="2019-02-02T00:00:00"/>
    <x v="2"/>
    <x v="0"/>
    <n v="381.68"/>
    <n v="4.7619047620000003"/>
    <n v="19.084"/>
    <n v="6.4"/>
    <n v="381.68"/>
    <x v="4"/>
    <n v="2"/>
    <x v="1"/>
  </r>
  <r>
    <s v="537-72-0426"/>
    <x v="1"/>
    <s v="Naypyitaw"/>
    <x v="0"/>
    <s v="Male"/>
    <x v="5"/>
    <n v="70.989999999999995"/>
    <n v="10"/>
    <n v="35.494999999999997"/>
    <n v="745.39499999999998"/>
    <d v="2019-03-20T00:00:00"/>
    <x v="235"/>
    <x v="1"/>
    <n v="709.9"/>
    <n v="4.7619047620000003"/>
    <n v="35.494999999999997"/>
    <n v="5.7"/>
    <n v="709.9"/>
    <x v="2"/>
    <n v="3"/>
    <x v="0"/>
  </r>
  <r>
    <s v="828-61-5674"/>
    <x v="0"/>
    <s v="Yangon"/>
    <x v="0"/>
    <s v="Male"/>
    <x v="3"/>
    <n v="44.02"/>
    <n v="10"/>
    <n v="22.01"/>
    <n v="462.21"/>
    <d v="2019-03-20T00:00:00"/>
    <x v="129"/>
    <x v="2"/>
    <n v="440.2"/>
    <n v="4.7619047620000003"/>
    <n v="22.01"/>
    <n v="9.6"/>
    <n v="440.20000000000005"/>
    <x v="2"/>
    <n v="3"/>
    <x v="0"/>
  </r>
  <r>
    <s v="136-08-6195"/>
    <x v="0"/>
    <s v="Yangon"/>
    <x v="1"/>
    <s v="Female"/>
    <x v="2"/>
    <n v="69.959999999999994"/>
    <n v="8"/>
    <n v="27.984000000000002"/>
    <n v="587.66399999999999"/>
    <d v="2019-02-15T00:00:00"/>
    <x v="154"/>
    <x v="2"/>
    <n v="559.67999999999995"/>
    <n v="4.7619047620000003"/>
    <n v="27.984000000000002"/>
    <n v="6.4"/>
    <n v="559.67999999999995"/>
    <x v="4"/>
    <n v="2"/>
    <x v="3"/>
  </r>
  <r>
    <s v="523-38-0215"/>
    <x v="1"/>
    <s v="Naypyitaw"/>
    <x v="1"/>
    <s v="Male"/>
    <x v="2"/>
    <n v="37"/>
    <n v="1"/>
    <n v="1.85"/>
    <n v="38.85"/>
    <d v="2019-06-03T00:00:00"/>
    <x v="236"/>
    <x v="2"/>
    <n v="37"/>
    <n v="4.7619047620000003"/>
    <n v="1.85"/>
    <n v="7.9"/>
    <n v="37"/>
    <x v="6"/>
    <n v="6"/>
    <x v="4"/>
  </r>
  <r>
    <s v="490-29-1201"/>
    <x v="0"/>
    <s v="Yangon"/>
    <x v="1"/>
    <s v="Female"/>
    <x v="3"/>
    <n v="15.34"/>
    <n v="1"/>
    <n v="0.76700000000000002"/>
    <n v="16.106999999999999"/>
    <d v="2019-06-01T00:00:00"/>
    <x v="237"/>
    <x v="1"/>
    <n v="15.34"/>
    <n v="4.7619047620000003"/>
    <n v="0.76700000000000002"/>
    <n v="6.5"/>
    <n v="15.34"/>
    <x v="6"/>
    <n v="6"/>
    <x v="1"/>
  </r>
  <r>
    <s v="667-92-0055"/>
    <x v="0"/>
    <s v="Yangon"/>
    <x v="0"/>
    <s v="Male"/>
    <x v="0"/>
    <n v="99.83"/>
    <n v="6"/>
    <n v="29.949000000000002"/>
    <n v="628.92899999999997"/>
    <d v="2019-04-03T00:00:00"/>
    <x v="238"/>
    <x v="0"/>
    <n v="598.98"/>
    <n v="4.7619047620000003"/>
    <n v="29.949000000000002"/>
    <n v="8.5"/>
    <n v="598.98"/>
    <x v="11"/>
    <n v="4"/>
    <x v="0"/>
  </r>
  <r>
    <s v="565-17-3836"/>
    <x v="0"/>
    <s v="Yangon"/>
    <x v="0"/>
    <s v="Female"/>
    <x v="0"/>
    <n v="47.67"/>
    <n v="4"/>
    <n v="9.5340000000000007"/>
    <n v="200.214"/>
    <d v="2019-12-03T00:00:00"/>
    <x v="239"/>
    <x v="1"/>
    <n v="190.68"/>
    <n v="4.7619047620000003"/>
    <n v="9.5340000000000007"/>
    <n v="9.1"/>
    <n v="190.68"/>
    <x v="8"/>
    <n v="12"/>
    <x v="5"/>
  </r>
  <r>
    <s v="498-41-1961"/>
    <x v="2"/>
    <s v="Mandalay"/>
    <x v="1"/>
    <s v="Male"/>
    <x v="0"/>
    <n v="66.680000000000007"/>
    <n v="5"/>
    <n v="16.670000000000002"/>
    <n v="350.07"/>
    <d v="2019-02-20T00:00:00"/>
    <x v="240"/>
    <x v="1"/>
    <n v="333.4"/>
    <n v="4.7619047620000003"/>
    <n v="16.670000000000002"/>
    <n v="7.6"/>
    <n v="333.40000000000003"/>
    <x v="4"/>
    <n v="2"/>
    <x v="0"/>
  </r>
  <r>
    <s v="593-95-4461"/>
    <x v="1"/>
    <s v="Naypyitaw"/>
    <x v="0"/>
    <s v="Male"/>
    <x v="2"/>
    <n v="74.86"/>
    <n v="1"/>
    <n v="3.7429999999999999"/>
    <n v="78.602999999999994"/>
    <d v="2019-03-24T00:00:00"/>
    <x v="32"/>
    <x v="1"/>
    <n v="74.86"/>
    <n v="4.7619047620000003"/>
    <n v="3.7429999999999999"/>
    <n v="6.9"/>
    <n v="74.86"/>
    <x v="2"/>
    <n v="3"/>
    <x v="2"/>
  </r>
  <r>
    <s v="226-71-3580"/>
    <x v="1"/>
    <s v="Naypyitaw"/>
    <x v="1"/>
    <s v="Female"/>
    <x v="3"/>
    <n v="23.75"/>
    <n v="9"/>
    <n v="10.6875"/>
    <n v="224.4375"/>
    <d v="2019-01-31T00:00:00"/>
    <x v="110"/>
    <x v="1"/>
    <n v="213.75"/>
    <n v="4.7619047620000003"/>
    <n v="10.6875"/>
    <n v="9.5"/>
    <n v="213.75"/>
    <x v="3"/>
    <n v="1"/>
    <x v="6"/>
  </r>
  <r>
    <s v="283-79-9594"/>
    <x v="2"/>
    <s v="Mandalay"/>
    <x v="1"/>
    <s v="Female"/>
    <x v="4"/>
    <n v="48.51"/>
    <n v="7"/>
    <n v="16.9785"/>
    <n v="356.54849999999999"/>
    <d v="2019-01-25T00:00:00"/>
    <x v="241"/>
    <x v="2"/>
    <n v="339.57"/>
    <n v="4.7619047620000003"/>
    <n v="16.9785"/>
    <n v="5.2"/>
    <n v="339.57"/>
    <x v="3"/>
    <n v="1"/>
    <x v="3"/>
  </r>
  <r>
    <s v="430-60-3493"/>
    <x v="0"/>
    <s v="Yangon"/>
    <x v="0"/>
    <s v="Female"/>
    <x v="2"/>
    <n v="94.88"/>
    <n v="7"/>
    <n v="33.207999999999998"/>
    <n v="697.36800000000005"/>
    <d v="2019-03-02T00:00:00"/>
    <x v="242"/>
    <x v="1"/>
    <n v="664.16"/>
    <n v="4.7619047620000003"/>
    <n v="33.207999999999998"/>
    <n v="4.2"/>
    <n v="664.16"/>
    <x v="2"/>
    <n v="3"/>
    <x v="1"/>
  </r>
  <r>
    <s v="139-20-0155"/>
    <x v="2"/>
    <s v="Mandalay"/>
    <x v="0"/>
    <s v="Male"/>
    <x v="1"/>
    <n v="40.299999999999997"/>
    <n v="10"/>
    <n v="20.149999999999999"/>
    <n v="423.15"/>
    <d v="2019-01-24T00:00:00"/>
    <x v="243"/>
    <x v="2"/>
    <n v="403"/>
    <n v="4.7619047620000003"/>
    <n v="20.149999999999999"/>
    <n v="7"/>
    <n v="403"/>
    <x v="3"/>
    <n v="1"/>
    <x v="6"/>
  </r>
  <r>
    <s v="558-80-4082"/>
    <x v="1"/>
    <s v="Naypyitaw"/>
    <x v="1"/>
    <s v="Male"/>
    <x v="1"/>
    <n v="27.85"/>
    <n v="7"/>
    <n v="9.7475000000000005"/>
    <n v="204.69749999999999"/>
    <d v="2019-03-14T00:00:00"/>
    <x v="244"/>
    <x v="0"/>
    <n v="194.95"/>
    <n v="4.7619047620000003"/>
    <n v="9.7475000000000005"/>
    <n v="6"/>
    <n v="194.95000000000002"/>
    <x v="2"/>
    <n v="3"/>
    <x v="6"/>
  </r>
  <r>
    <s v="278-97-7759"/>
    <x v="0"/>
    <s v="Yangon"/>
    <x v="0"/>
    <s v="Female"/>
    <x v="1"/>
    <n v="62.48"/>
    <n v="1"/>
    <n v="3.1240000000000001"/>
    <n v="65.603999999999999"/>
    <d v="2019-02-18T00:00:00"/>
    <x v="245"/>
    <x v="1"/>
    <n v="62.48"/>
    <n v="4.7619047620000003"/>
    <n v="3.1240000000000001"/>
    <n v="4.7"/>
    <n v="62.48"/>
    <x v="4"/>
    <n v="2"/>
    <x v="4"/>
  </r>
  <r>
    <s v="316-68-6352"/>
    <x v="0"/>
    <s v="Yangon"/>
    <x v="0"/>
    <s v="Female"/>
    <x v="4"/>
    <n v="36.36"/>
    <n v="2"/>
    <n v="3.6360000000000001"/>
    <n v="76.355999999999995"/>
    <d v="2019-01-21T00:00:00"/>
    <x v="158"/>
    <x v="1"/>
    <n v="72.72"/>
    <n v="4.7619047620000003"/>
    <n v="3.6360000000000001"/>
    <n v="7.1"/>
    <n v="72.72"/>
    <x v="3"/>
    <n v="1"/>
    <x v="4"/>
  </r>
  <r>
    <s v="585-03-5943"/>
    <x v="2"/>
    <s v="Mandalay"/>
    <x v="1"/>
    <s v="Male"/>
    <x v="0"/>
    <n v="18.11"/>
    <n v="10"/>
    <n v="9.0549999999999997"/>
    <n v="190.155"/>
    <d v="2019-03-13T00:00:00"/>
    <x v="246"/>
    <x v="0"/>
    <n v="181.1"/>
    <n v="4.7619047620000003"/>
    <n v="9.0549999999999997"/>
    <n v="5.9"/>
    <n v="181.1"/>
    <x v="2"/>
    <n v="3"/>
    <x v="0"/>
  </r>
  <r>
    <s v="211-05-0490"/>
    <x v="1"/>
    <s v="Naypyitaw"/>
    <x v="0"/>
    <s v="Female"/>
    <x v="1"/>
    <n v="51.92"/>
    <n v="5"/>
    <n v="12.98"/>
    <n v="272.58"/>
    <d v="2019-03-03T00:00:00"/>
    <x v="247"/>
    <x v="1"/>
    <n v="259.60000000000002"/>
    <n v="4.7619047620000003"/>
    <n v="12.98"/>
    <n v="7.5"/>
    <n v="259.60000000000002"/>
    <x v="2"/>
    <n v="3"/>
    <x v="2"/>
  </r>
  <r>
    <s v="727-75-6477"/>
    <x v="1"/>
    <s v="Naypyitaw"/>
    <x v="1"/>
    <s v="Male"/>
    <x v="1"/>
    <n v="28.84"/>
    <n v="4"/>
    <n v="5.7679999999999998"/>
    <n v="121.128"/>
    <d v="2019-03-29T00:00:00"/>
    <x v="248"/>
    <x v="1"/>
    <n v="115.36"/>
    <n v="4.7619047620000003"/>
    <n v="5.7679999999999998"/>
    <n v="6.4"/>
    <n v="115.36"/>
    <x v="2"/>
    <n v="3"/>
    <x v="3"/>
  </r>
  <r>
    <s v="744-02-5987"/>
    <x v="0"/>
    <s v="Yangon"/>
    <x v="0"/>
    <s v="Male"/>
    <x v="2"/>
    <n v="78.38"/>
    <n v="6"/>
    <n v="23.513999999999999"/>
    <n v="493.79399999999998"/>
    <d v="2019-10-01T00:00:00"/>
    <x v="249"/>
    <x v="0"/>
    <n v="470.28"/>
    <n v="4.7619047620000003"/>
    <n v="23.513999999999999"/>
    <n v="5.8"/>
    <n v="470.28"/>
    <x v="5"/>
    <n v="10"/>
    <x v="5"/>
  </r>
  <r>
    <s v="307-83-9164"/>
    <x v="0"/>
    <s v="Yangon"/>
    <x v="0"/>
    <s v="Male"/>
    <x v="2"/>
    <n v="60.01"/>
    <n v="4"/>
    <n v="12.002000000000001"/>
    <n v="252.042"/>
    <d v="2019-01-25T00:00:00"/>
    <x v="250"/>
    <x v="1"/>
    <n v="240.04"/>
    <n v="4.7619047620000003"/>
    <n v="12.002000000000001"/>
    <n v="4.5"/>
    <n v="240.04"/>
    <x v="3"/>
    <n v="1"/>
    <x v="3"/>
  </r>
  <r>
    <s v="779-06-0012"/>
    <x v="1"/>
    <s v="Naypyitaw"/>
    <x v="0"/>
    <s v="Female"/>
    <x v="2"/>
    <n v="88.61"/>
    <n v="1"/>
    <n v="4.4305000000000003"/>
    <n v="93.040499999999994"/>
    <d v="2019-01-19T00:00:00"/>
    <x v="251"/>
    <x v="1"/>
    <n v="88.61"/>
    <n v="4.7619047620000003"/>
    <n v="4.4305000000000003"/>
    <n v="7.7"/>
    <n v="88.61"/>
    <x v="3"/>
    <n v="1"/>
    <x v="1"/>
  </r>
  <r>
    <s v="446-47-6729"/>
    <x v="1"/>
    <s v="Naypyitaw"/>
    <x v="1"/>
    <s v="Male"/>
    <x v="5"/>
    <n v="99.82"/>
    <n v="2"/>
    <n v="9.9819999999999993"/>
    <n v="209.62200000000001"/>
    <d v="2019-02-01T00:00:00"/>
    <x v="203"/>
    <x v="2"/>
    <n v="199.64"/>
    <n v="4.7619047620000003"/>
    <n v="9.9819999999999993"/>
    <n v="6.7"/>
    <n v="199.64"/>
    <x v="4"/>
    <n v="2"/>
    <x v="3"/>
  </r>
  <r>
    <s v="573-10-3877"/>
    <x v="2"/>
    <s v="Mandalay"/>
    <x v="0"/>
    <s v="Male"/>
    <x v="0"/>
    <n v="39.01"/>
    <n v="1"/>
    <n v="1.9504999999999999"/>
    <n v="40.960500000000003"/>
    <d v="2019-12-03T00:00:00"/>
    <x v="252"/>
    <x v="2"/>
    <n v="39.01"/>
    <n v="4.7619047620000003"/>
    <n v="1.9504999999999999"/>
    <n v="4.7"/>
    <n v="39.01"/>
    <x v="8"/>
    <n v="12"/>
    <x v="5"/>
  </r>
  <r>
    <s v="735-06-4124"/>
    <x v="1"/>
    <s v="Naypyitaw"/>
    <x v="1"/>
    <s v="Male"/>
    <x v="4"/>
    <n v="48.61"/>
    <n v="1"/>
    <n v="2.4304999999999999"/>
    <n v="51.040500000000002"/>
    <d v="2019-02-25T00:00:00"/>
    <x v="26"/>
    <x v="1"/>
    <n v="48.61"/>
    <n v="4.7619047620000003"/>
    <n v="2.4304999999999999"/>
    <n v="4.4000000000000004"/>
    <n v="48.61"/>
    <x v="4"/>
    <n v="2"/>
    <x v="4"/>
  </r>
  <r>
    <s v="439-54-7422"/>
    <x v="0"/>
    <s v="Yangon"/>
    <x v="1"/>
    <s v="Female"/>
    <x v="1"/>
    <n v="51.19"/>
    <n v="4"/>
    <n v="10.238"/>
    <n v="214.99799999999999"/>
    <d v="2019-03-18T00:00:00"/>
    <x v="8"/>
    <x v="2"/>
    <n v="204.76"/>
    <n v="4.7619047620000003"/>
    <n v="10.238"/>
    <n v="4.7"/>
    <n v="204.76"/>
    <x v="2"/>
    <n v="3"/>
    <x v="4"/>
  </r>
  <r>
    <s v="396-90-2219"/>
    <x v="2"/>
    <s v="Mandalay"/>
    <x v="1"/>
    <s v="Female"/>
    <x v="1"/>
    <n v="14.96"/>
    <n v="8"/>
    <n v="5.984"/>
    <n v="125.664"/>
    <d v="2019-02-23T00:00:00"/>
    <x v="107"/>
    <x v="1"/>
    <n v="119.68"/>
    <n v="4.7619047620000003"/>
    <n v="5.984"/>
    <n v="8.6"/>
    <n v="119.68"/>
    <x v="4"/>
    <n v="2"/>
    <x v="1"/>
  </r>
  <r>
    <s v="411-77-0180"/>
    <x v="0"/>
    <s v="Yangon"/>
    <x v="0"/>
    <s v="Male"/>
    <x v="1"/>
    <n v="72.2"/>
    <n v="7"/>
    <n v="25.27"/>
    <n v="530.66999999999996"/>
    <d v="2019-03-26T00:00:00"/>
    <x v="253"/>
    <x v="0"/>
    <n v="505.4"/>
    <n v="4.7619047620000003"/>
    <n v="25.27"/>
    <n v="4.3"/>
    <n v="505.40000000000003"/>
    <x v="2"/>
    <n v="3"/>
    <x v="5"/>
  </r>
  <r>
    <s v="286-01-5402"/>
    <x v="0"/>
    <s v="Yangon"/>
    <x v="1"/>
    <s v="Female"/>
    <x v="3"/>
    <n v="40.229999999999997"/>
    <n v="7"/>
    <n v="14.080500000000001"/>
    <n v="295.69049999999999"/>
    <d v="2019-03-30T00:00:00"/>
    <x v="93"/>
    <x v="1"/>
    <n v="281.61"/>
    <n v="4.7619047620000003"/>
    <n v="14.080500000000001"/>
    <n v="9.6"/>
    <n v="281.60999999999996"/>
    <x v="2"/>
    <n v="3"/>
    <x v="1"/>
  </r>
  <r>
    <s v="803-17-8013"/>
    <x v="0"/>
    <s v="Yangon"/>
    <x v="0"/>
    <s v="Female"/>
    <x v="2"/>
    <n v="88.79"/>
    <n v="8"/>
    <n v="35.515999999999998"/>
    <n v="745.83600000000001"/>
    <d v="2019-02-17T00:00:00"/>
    <x v="254"/>
    <x v="1"/>
    <n v="710.32"/>
    <n v="4.7619047620000003"/>
    <n v="35.515999999999998"/>
    <n v="4.0999999999999996"/>
    <n v="710.32"/>
    <x v="4"/>
    <n v="2"/>
    <x v="2"/>
  </r>
  <r>
    <s v="512-98-1403"/>
    <x v="0"/>
    <s v="Yangon"/>
    <x v="0"/>
    <s v="Female"/>
    <x v="1"/>
    <n v="26.48"/>
    <n v="3"/>
    <n v="3.972"/>
    <n v="83.412000000000006"/>
    <d v="2019-03-21T00:00:00"/>
    <x v="21"/>
    <x v="0"/>
    <n v="79.44"/>
    <n v="4.7619047620000003"/>
    <n v="3.972"/>
    <n v="4.7"/>
    <n v="79.44"/>
    <x v="2"/>
    <n v="3"/>
    <x v="6"/>
  </r>
  <r>
    <s v="848-42-2560"/>
    <x v="0"/>
    <s v="Yangon"/>
    <x v="1"/>
    <s v="Female"/>
    <x v="5"/>
    <n v="81.91"/>
    <n v="2"/>
    <n v="8.1910000000000007"/>
    <n v="172.011"/>
    <d v="2019-05-03T00:00:00"/>
    <x v="255"/>
    <x v="1"/>
    <n v="163.82"/>
    <n v="4.7619047620000003"/>
    <n v="8.1910000000000007"/>
    <n v="7.8"/>
    <n v="163.82"/>
    <x v="0"/>
    <n v="5"/>
    <x v="3"/>
  </r>
  <r>
    <s v="532-59-7201"/>
    <x v="2"/>
    <s v="Mandalay"/>
    <x v="0"/>
    <s v="Male"/>
    <x v="3"/>
    <n v="79.930000000000007"/>
    <n v="6"/>
    <n v="23.978999999999999"/>
    <n v="503.55900000000003"/>
    <d v="2019-01-31T00:00:00"/>
    <x v="214"/>
    <x v="1"/>
    <n v="479.58"/>
    <n v="4.7619047620000003"/>
    <n v="23.978999999999999"/>
    <n v="5.5"/>
    <n v="479.58000000000004"/>
    <x v="3"/>
    <n v="1"/>
    <x v="6"/>
  </r>
  <r>
    <s v="181-94-6432"/>
    <x v="1"/>
    <s v="Naypyitaw"/>
    <x v="0"/>
    <s v="Male"/>
    <x v="5"/>
    <n v="69.33"/>
    <n v="2"/>
    <n v="6.9329999999999998"/>
    <n v="145.59299999999999"/>
    <d v="2019-05-02T00:00:00"/>
    <x v="256"/>
    <x v="0"/>
    <n v="138.66"/>
    <n v="4.7619047620000003"/>
    <n v="6.9329999999999998"/>
    <n v="9.6999999999999993"/>
    <n v="138.66"/>
    <x v="0"/>
    <n v="5"/>
    <x v="6"/>
  </r>
  <r>
    <s v="870-76-1733"/>
    <x v="0"/>
    <s v="Yangon"/>
    <x v="0"/>
    <s v="Female"/>
    <x v="4"/>
    <n v="14.23"/>
    <n v="5"/>
    <n v="3.5575000000000001"/>
    <n v="74.707499999999996"/>
    <d v="2019-01-02T00:00:00"/>
    <x v="257"/>
    <x v="2"/>
    <n v="71.150000000000006"/>
    <n v="4.7619047620000003"/>
    <n v="3.5575000000000001"/>
    <n v="4.4000000000000004"/>
    <n v="71.150000000000006"/>
    <x v="3"/>
    <n v="1"/>
    <x v="0"/>
  </r>
  <r>
    <s v="423-64-4619"/>
    <x v="0"/>
    <s v="Yangon"/>
    <x v="0"/>
    <s v="Female"/>
    <x v="0"/>
    <n v="15.55"/>
    <n v="9"/>
    <n v="6.9974999999999996"/>
    <n v="146.94749999999999"/>
    <d v="2019-07-03T00:00:00"/>
    <x v="258"/>
    <x v="1"/>
    <n v="139.94999999999999"/>
    <n v="4.7619047620000003"/>
    <n v="6.9974999999999996"/>
    <n v="5"/>
    <n v="139.95000000000002"/>
    <x v="9"/>
    <n v="7"/>
    <x v="0"/>
  </r>
  <r>
    <s v="227-07-4446"/>
    <x v="1"/>
    <s v="Naypyitaw"/>
    <x v="0"/>
    <s v="Female"/>
    <x v="1"/>
    <n v="78.13"/>
    <n v="10"/>
    <n v="39.064999999999998"/>
    <n v="820.36500000000001"/>
    <d v="2019-10-02T00:00:00"/>
    <x v="259"/>
    <x v="1"/>
    <n v="781.3"/>
    <n v="4.7619047620000003"/>
    <n v="39.064999999999998"/>
    <n v="4.4000000000000004"/>
    <n v="781.3"/>
    <x v="5"/>
    <n v="10"/>
    <x v="0"/>
  </r>
  <r>
    <s v="174-36-3675"/>
    <x v="1"/>
    <s v="Naypyitaw"/>
    <x v="0"/>
    <s v="Male"/>
    <x v="4"/>
    <n v="99.37"/>
    <n v="2"/>
    <n v="9.9369999999999994"/>
    <n v="208.67699999999999"/>
    <d v="2019-02-14T00:00:00"/>
    <x v="260"/>
    <x v="1"/>
    <n v="198.74"/>
    <n v="4.7619047620000003"/>
    <n v="9.9369999999999994"/>
    <n v="5.2"/>
    <n v="198.74"/>
    <x v="4"/>
    <n v="2"/>
    <x v="6"/>
  </r>
  <r>
    <s v="428-83-5800"/>
    <x v="1"/>
    <s v="Naypyitaw"/>
    <x v="0"/>
    <s v="Female"/>
    <x v="4"/>
    <n v="21.08"/>
    <n v="3"/>
    <n v="3.1619999999999999"/>
    <n v="66.402000000000001"/>
    <d v="2019-09-02T00:00:00"/>
    <x v="12"/>
    <x v="1"/>
    <n v="63.24"/>
    <n v="4.7619047620000003"/>
    <n v="3.1619999999999999"/>
    <n v="7.3"/>
    <n v="63.239999999999995"/>
    <x v="7"/>
    <n v="9"/>
    <x v="4"/>
  </r>
  <r>
    <s v="603-07-0961"/>
    <x v="1"/>
    <s v="Naypyitaw"/>
    <x v="0"/>
    <s v="Male"/>
    <x v="1"/>
    <n v="74.790000000000006"/>
    <n v="5"/>
    <n v="18.697500000000002"/>
    <n v="392.64749999999998"/>
    <d v="2019-10-01T00:00:00"/>
    <x v="261"/>
    <x v="1"/>
    <n v="373.95"/>
    <n v="4.7619047620000003"/>
    <n v="18.697500000000002"/>
    <n v="4.9000000000000004"/>
    <n v="373.95000000000005"/>
    <x v="5"/>
    <n v="10"/>
    <x v="5"/>
  </r>
  <r>
    <s v="704-20-4138"/>
    <x v="1"/>
    <s v="Naypyitaw"/>
    <x v="0"/>
    <s v="Female"/>
    <x v="0"/>
    <n v="29.67"/>
    <n v="7"/>
    <n v="10.384499999999999"/>
    <n v="218.0745"/>
    <d v="2019-11-03T00:00:00"/>
    <x v="262"/>
    <x v="2"/>
    <n v="207.69"/>
    <n v="4.7619047620000003"/>
    <n v="10.384499999999999"/>
    <n v="8.1"/>
    <n v="207.69"/>
    <x v="10"/>
    <n v="11"/>
    <x v="2"/>
  </r>
  <r>
    <s v="787-15-1757"/>
    <x v="1"/>
    <s v="Naypyitaw"/>
    <x v="0"/>
    <s v="Male"/>
    <x v="0"/>
    <n v="44.07"/>
    <n v="4"/>
    <n v="8.8140000000000001"/>
    <n v="185.09399999999999"/>
    <d v="2019-02-18T00:00:00"/>
    <x v="235"/>
    <x v="0"/>
    <n v="176.28"/>
    <n v="4.7619047620000003"/>
    <n v="8.8140000000000001"/>
    <n v="8.4"/>
    <n v="176.28"/>
    <x v="4"/>
    <n v="2"/>
    <x v="4"/>
  </r>
  <r>
    <s v="649-11-3678"/>
    <x v="1"/>
    <s v="Naypyitaw"/>
    <x v="1"/>
    <s v="Female"/>
    <x v="4"/>
    <n v="22.93"/>
    <n v="9"/>
    <n v="10.3185"/>
    <n v="216.6885"/>
    <d v="2019-02-26T00:00:00"/>
    <x v="263"/>
    <x v="1"/>
    <n v="206.37"/>
    <n v="4.7619047620000003"/>
    <n v="10.3185"/>
    <n v="5.5"/>
    <n v="206.37"/>
    <x v="4"/>
    <n v="2"/>
    <x v="5"/>
  </r>
  <r>
    <s v="622-20-1945"/>
    <x v="1"/>
    <s v="Naypyitaw"/>
    <x v="1"/>
    <s v="Female"/>
    <x v="0"/>
    <n v="39.42"/>
    <n v="1"/>
    <n v="1.9710000000000001"/>
    <n v="41.390999999999998"/>
    <d v="2019-01-18T00:00:00"/>
    <x v="264"/>
    <x v="1"/>
    <n v="39.42"/>
    <n v="4.7619047620000003"/>
    <n v="1.9710000000000001"/>
    <n v="8.4"/>
    <n v="39.42"/>
    <x v="3"/>
    <n v="1"/>
    <x v="3"/>
  </r>
  <r>
    <s v="372-94-8041"/>
    <x v="0"/>
    <s v="Yangon"/>
    <x v="1"/>
    <s v="Male"/>
    <x v="0"/>
    <n v="15.26"/>
    <n v="6"/>
    <n v="4.5780000000000003"/>
    <n v="96.138000000000005"/>
    <d v="2019-02-15T00:00:00"/>
    <x v="172"/>
    <x v="0"/>
    <n v="91.56"/>
    <n v="4.7619047620000003"/>
    <n v="4.5780000000000003"/>
    <n v="9.8000000000000007"/>
    <n v="91.56"/>
    <x v="4"/>
    <n v="2"/>
    <x v="3"/>
  </r>
  <r>
    <s v="563-91-7120"/>
    <x v="0"/>
    <s v="Yangon"/>
    <x v="1"/>
    <s v="Female"/>
    <x v="5"/>
    <n v="61.77"/>
    <n v="5"/>
    <n v="15.442500000000001"/>
    <n v="324.29250000000002"/>
    <d v="2019-08-03T00:00:00"/>
    <x v="265"/>
    <x v="1"/>
    <n v="308.85000000000002"/>
    <n v="4.7619047620000003"/>
    <n v="15.442500000000001"/>
    <n v="6.7"/>
    <n v="308.85000000000002"/>
    <x v="1"/>
    <n v="8"/>
    <x v="1"/>
  </r>
  <r>
    <s v="746-54-5508"/>
    <x v="0"/>
    <s v="Yangon"/>
    <x v="1"/>
    <s v="Male"/>
    <x v="2"/>
    <n v="21.52"/>
    <n v="6"/>
    <n v="6.4560000000000004"/>
    <n v="135.57599999999999"/>
    <d v="2019-01-17T00:00:00"/>
    <x v="266"/>
    <x v="2"/>
    <n v="129.12"/>
    <n v="4.7619047620000003"/>
    <n v="6.4560000000000004"/>
    <n v="9.4"/>
    <n v="129.12"/>
    <x v="3"/>
    <n v="1"/>
    <x v="6"/>
  </r>
  <r>
    <s v="276-54-0879"/>
    <x v="2"/>
    <s v="Mandalay"/>
    <x v="1"/>
    <s v="Male"/>
    <x v="3"/>
    <n v="97.74"/>
    <n v="4"/>
    <n v="19.547999999999998"/>
    <n v="410.50799999999998"/>
    <d v="2019-12-03T00:00:00"/>
    <x v="267"/>
    <x v="0"/>
    <n v="390.96"/>
    <n v="4.7619047620000003"/>
    <n v="19.547999999999998"/>
    <n v="6.4"/>
    <n v="390.96"/>
    <x v="8"/>
    <n v="12"/>
    <x v="5"/>
  </r>
  <r>
    <s v="815-11-1168"/>
    <x v="0"/>
    <s v="Yangon"/>
    <x v="0"/>
    <s v="Male"/>
    <x v="4"/>
    <n v="99.78"/>
    <n v="5"/>
    <n v="24.945"/>
    <n v="523.84500000000003"/>
    <d v="2019-09-03T00:00:00"/>
    <x v="268"/>
    <x v="1"/>
    <n v="498.9"/>
    <n v="4.7619047620000003"/>
    <n v="24.945"/>
    <n v="5.4"/>
    <n v="498.9"/>
    <x v="7"/>
    <n v="9"/>
    <x v="5"/>
  </r>
  <r>
    <s v="719-76-3868"/>
    <x v="1"/>
    <s v="Naypyitaw"/>
    <x v="0"/>
    <s v="Male"/>
    <x v="4"/>
    <n v="94.26"/>
    <n v="4"/>
    <n v="18.852"/>
    <n v="395.892"/>
    <d v="2019-12-03T00:00:00"/>
    <x v="269"/>
    <x v="1"/>
    <n v="377.04"/>
    <n v="4.7619047620000003"/>
    <n v="18.852"/>
    <n v="8.6"/>
    <n v="377.04"/>
    <x v="8"/>
    <n v="12"/>
    <x v="5"/>
  </r>
  <r>
    <s v="730-61-8757"/>
    <x v="2"/>
    <s v="Mandalay"/>
    <x v="0"/>
    <s v="Male"/>
    <x v="0"/>
    <n v="51.13"/>
    <n v="4"/>
    <n v="10.226000000000001"/>
    <n v="214.74600000000001"/>
    <d v="2019-01-25T00:00:00"/>
    <x v="41"/>
    <x v="2"/>
    <n v="204.52"/>
    <n v="4.7619047620000003"/>
    <n v="10.226000000000001"/>
    <n v="4"/>
    <n v="204.52"/>
    <x v="3"/>
    <n v="1"/>
    <x v="3"/>
  </r>
  <r>
    <s v="340-66-0321"/>
    <x v="0"/>
    <s v="Yangon"/>
    <x v="0"/>
    <s v="Male"/>
    <x v="1"/>
    <n v="36.36"/>
    <n v="4"/>
    <n v="7.2720000000000002"/>
    <n v="152.71199999999999"/>
    <d v="2019-03-25T00:00:00"/>
    <x v="270"/>
    <x v="1"/>
    <n v="145.44"/>
    <n v="4.7619047620000003"/>
    <n v="7.2720000000000002"/>
    <n v="7.6"/>
    <n v="145.44"/>
    <x v="2"/>
    <n v="3"/>
    <x v="4"/>
  </r>
  <r>
    <s v="868-81-1752"/>
    <x v="2"/>
    <s v="Mandalay"/>
    <x v="1"/>
    <s v="Male"/>
    <x v="2"/>
    <n v="22.02"/>
    <n v="9"/>
    <n v="9.9090000000000007"/>
    <n v="208.089"/>
    <d v="2019-07-02T00:00:00"/>
    <x v="271"/>
    <x v="1"/>
    <n v="198.18"/>
    <n v="4.7619047620000003"/>
    <n v="9.9090000000000007"/>
    <n v="6.8"/>
    <n v="198.18"/>
    <x v="9"/>
    <n v="7"/>
    <x v="5"/>
  </r>
  <r>
    <s v="634-97-8956"/>
    <x v="0"/>
    <s v="Yangon"/>
    <x v="1"/>
    <s v="Male"/>
    <x v="4"/>
    <n v="32.9"/>
    <n v="3"/>
    <n v="4.9349999999999996"/>
    <n v="103.63500000000001"/>
    <d v="2019-02-17T00:00:00"/>
    <x v="272"/>
    <x v="2"/>
    <n v="98.7"/>
    <n v="4.7619047620000003"/>
    <n v="4.9349999999999996"/>
    <n v="9.1"/>
    <n v="98.699999999999989"/>
    <x v="4"/>
    <n v="2"/>
    <x v="2"/>
  </r>
  <r>
    <s v="566-71-1091"/>
    <x v="0"/>
    <s v="Yangon"/>
    <x v="1"/>
    <s v="Male"/>
    <x v="5"/>
    <n v="77.02"/>
    <n v="5"/>
    <n v="19.254999999999999"/>
    <n v="404.35500000000002"/>
    <d v="2019-03-02T00:00:00"/>
    <x v="273"/>
    <x v="1"/>
    <n v="385.1"/>
    <n v="4.7619047620000003"/>
    <n v="19.254999999999999"/>
    <n v="5.5"/>
    <n v="385.09999999999997"/>
    <x v="2"/>
    <n v="3"/>
    <x v="1"/>
  </r>
  <r>
    <s v="442-48-3607"/>
    <x v="0"/>
    <s v="Yangon"/>
    <x v="0"/>
    <s v="Male"/>
    <x v="4"/>
    <n v="23.48"/>
    <n v="2"/>
    <n v="2.3479999999999999"/>
    <n v="49.308"/>
    <d v="2019-03-14T00:00:00"/>
    <x v="274"/>
    <x v="2"/>
    <n v="46.96"/>
    <n v="4.7619047620000003"/>
    <n v="2.3479999999999999"/>
    <n v="7.9"/>
    <n v="46.96"/>
    <x v="2"/>
    <n v="3"/>
    <x v="6"/>
  </r>
  <r>
    <s v="835-16-0096"/>
    <x v="1"/>
    <s v="Naypyitaw"/>
    <x v="0"/>
    <s v="Male"/>
    <x v="3"/>
    <n v="14.7"/>
    <n v="5"/>
    <n v="3.6749999999999998"/>
    <n v="77.174999999999997"/>
    <d v="2019-03-24T00:00:00"/>
    <x v="128"/>
    <x v="0"/>
    <n v="73.5"/>
    <n v="4.7619047620000003"/>
    <n v="3.6749999999999998"/>
    <n v="8.5"/>
    <n v="73.5"/>
    <x v="2"/>
    <n v="3"/>
    <x v="2"/>
  </r>
  <r>
    <s v="527-09-6272"/>
    <x v="0"/>
    <s v="Yangon"/>
    <x v="0"/>
    <s v="Female"/>
    <x v="1"/>
    <n v="28.45"/>
    <n v="5"/>
    <n v="7.1124999999999998"/>
    <n v="149.36250000000001"/>
    <d v="2019-03-21T00:00:00"/>
    <x v="79"/>
    <x v="2"/>
    <n v="142.25"/>
    <n v="4.7619047620000003"/>
    <n v="7.1124999999999998"/>
    <n v="9.1"/>
    <n v="142.25"/>
    <x v="2"/>
    <n v="3"/>
    <x v="6"/>
  </r>
  <r>
    <s v="898-04-2717"/>
    <x v="0"/>
    <s v="Yangon"/>
    <x v="1"/>
    <s v="Male"/>
    <x v="5"/>
    <n v="76.400000000000006"/>
    <n v="9"/>
    <n v="34.380000000000003"/>
    <n v="721.98"/>
    <d v="2019-03-19T00:00:00"/>
    <x v="275"/>
    <x v="0"/>
    <n v="687.6"/>
    <n v="4.7619047620000003"/>
    <n v="34.380000000000003"/>
    <n v="7.5"/>
    <n v="687.6"/>
    <x v="2"/>
    <n v="3"/>
    <x v="5"/>
  </r>
  <r>
    <s v="692-27-8933"/>
    <x v="2"/>
    <s v="Mandalay"/>
    <x v="1"/>
    <s v="Female"/>
    <x v="3"/>
    <n v="57.95"/>
    <n v="6"/>
    <n v="17.385000000000002"/>
    <n v="365.08499999999998"/>
    <d v="2019-02-24T00:00:00"/>
    <x v="276"/>
    <x v="1"/>
    <n v="347.7"/>
    <n v="4.7619047620000003"/>
    <n v="17.385000000000002"/>
    <n v="5.2"/>
    <n v="347.70000000000005"/>
    <x v="4"/>
    <n v="2"/>
    <x v="2"/>
  </r>
  <r>
    <s v="633-09-3463"/>
    <x v="1"/>
    <s v="Naypyitaw"/>
    <x v="1"/>
    <s v="Female"/>
    <x v="1"/>
    <n v="47.65"/>
    <n v="3"/>
    <n v="7.1475"/>
    <n v="150.0975"/>
    <d v="2019-03-28T00:00:00"/>
    <x v="187"/>
    <x v="2"/>
    <n v="142.94999999999999"/>
    <n v="4.7619047620000003"/>
    <n v="7.1475"/>
    <n v="9.5"/>
    <n v="142.94999999999999"/>
    <x v="2"/>
    <n v="3"/>
    <x v="6"/>
  </r>
  <r>
    <s v="374-17-3652"/>
    <x v="2"/>
    <s v="Mandalay"/>
    <x v="0"/>
    <s v="Female"/>
    <x v="4"/>
    <n v="42.82"/>
    <n v="9"/>
    <n v="19.268999999999998"/>
    <n v="404.649"/>
    <d v="2019-05-02T00:00:00"/>
    <x v="108"/>
    <x v="2"/>
    <n v="385.38"/>
    <n v="4.7619047620000003"/>
    <n v="19.268999999999998"/>
    <n v="8.9"/>
    <n v="385.38"/>
    <x v="0"/>
    <n v="5"/>
    <x v="6"/>
  </r>
  <r>
    <s v="378-07-7001"/>
    <x v="2"/>
    <s v="Mandalay"/>
    <x v="0"/>
    <s v="Male"/>
    <x v="1"/>
    <n v="48.09"/>
    <n v="3"/>
    <n v="7.2134999999999998"/>
    <n v="151.48349999999999"/>
    <d v="2019-10-02T00:00:00"/>
    <x v="136"/>
    <x v="2"/>
    <n v="144.27000000000001"/>
    <n v="4.7619047620000003"/>
    <n v="7.2134999999999998"/>
    <n v="7.8"/>
    <n v="144.27000000000001"/>
    <x v="5"/>
    <n v="10"/>
    <x v="0"/>
  </r>
  <r>
    <s v="433-75-6987"/>
    <x v="2"/>
    <s v="Mandalay"/>
    <x v="0"/>
    <s v="Female"/>
    <x v="0"/>
    <n v="55.97"/>
    <n v="7"/>
    <n v="19.589500000000001"/>
    <n v="411.37950000000001"/>
    <d v="2019-05-03T00:00:00"/>
    <x v="216"/>
    <x v="0"/>
    <n v="391.79"/>
    <n v="4.7619047620000003"/>
    <n v="19.589500000000001"/>
    <n v="8.9"/>
    <n v="391.78999999999996"/>
    <x v="0"/>
    <n v="5"/>
    <x v="3"/>
  </r>
  <r>
    <s v="873-95-4984"/>
    <x v="2"/>
    <s v="Mandalay"/>
    <x v="0"/>
    <s v="Female"/>
    <x v="0"/>
    <n v="76.900000000000006"/>
    <n v="7"/>
    <n v="26.914999999999999"/>
    <n v="565.21500000000003"/>
    <d v="2019-02-15T00:00:00"/>
    <x v="277"/>
    <x v="1"/>
    <n v="538.29999999999995"/>
    <n v="4.7619047620000003"/>
    <n v="26.914999999999999"/>
    <n v="7.7"/>
    <n v="538.30000000000007"/>
    <x v="4"/>
    <n v="2"/>
    <x v="3"/>
  </r>
  <r>
    <s v="416-13-5917"/>
    <x v="1"/>
    <s v="Naypyitaw"/>
    <x v="1"/>
    <s v="Female"/>
    <x v="4"/>
    <n v="97.03"/>
    <n v="5"/>
    <n v="24.2575"/>
    <n v="509.40750000000003"/>
    <d v="2019-01-30T00:00:00"/>
    <x v="75"/>
    <x v="0"/>
    <n v="485.15"/>
    <n v="4.7619047620000003"/>
    <n v="24.2575"/>
    <n v="9.3000000000000007"/>
    <n v="485.15"/>
    <x v="3"/>
    <n v="1"/>
    <x v="0"/>
  </r>
  <r>
    <s v="150-89-8043"/>
    <x v="0"/>
    <s v="Yangon"/>
    <x v="1"/>
    <s v="Male"/>
    <x v="3"/>
    <n v="44.65"/>
    <n v="3"/>
    <n v="6.6974999999999998"/>
    <n v="140.64750000000001"/>
    <d v="2019-02-14T00:00:00"/>
    <x v="278"/>
    <x v="1"/>
    <n v="133.94999999999999"/>
    <n v="4.7619047620000003"/>
    <n v="6.6974999999999998"/>
    <n v="6.2"/>
    <n v="133.94999999999999"/>
    <x v="4"/>
    <n v="2"/>
    <x v="6"/>
  </r>
  <r>
    <s v="135-84-8019"/>
    <x v="0"/>
    <s v="Yangon"/>
    <x v="1"/>
    <s v="Female"/>
    <x v="5"/>
    <n v="77.930000000000007"/>
    <n v="9"/>
    <n v="35.0685"/>
    <n v="736.43849999999998"/>
    <d v="2019-02-27T00:00:00"/>
    <x v="279"/>
    <x v="0"/>
    <n v="701.37"/>
    <n v="4.7619047620000003"/>
    <n v="35.0685"/>
    <n v="7.6"/>
    <n v="701.37000000000012"/>
    <x v="4"/>
    <n v="2"/>
    <x v="0"/>
  </r>
  <r>
    <s v="441-94-7118"/>
    <x v="0"/>
    <s v="Yangon"/>
    <x v="0"/>
    <s v="Male"/>
    <x v="1"/>
    <n v="71.95"/>
    <n v="1"/>
    <n v="3.5975000000000001"/>
    <n v="75.547499999999999"/>
    <d v="2019-04-02T00:00:00"/>
    <x v="280"/>
    <x v="1"/>
    <n v="71.95"/>
    <n v="4.7619047620000003"/>
    <n v="3.5975000000000001"/>
    <n v="7.3"/>
    <n v="71.95"/>
    <x v="11"/>
    <n v="4"/>
    <x v="5"/>
  </r>
  <r>
    <s v="725-96-3778"/>
    <x v="1"/>
    <s v="Naypyitaw"/>
    <x v="0"/>
    <s v="Female"/>
    <x v="2"/>
    <n v="89.25"/>
    <n v="8"/>
    <n v="35.700000000000003"/>
    <n v="749.7"/>
    <d v="2019-01-20T00:00:00"/>
    <x v="173"/>
    <x v="1"/>
    <n v="714"/>
    <n v="4.7619047620000003"/>
    <n v="35.700000000000003"/>
    <n v="4.7"/>
    <n v="714"/>
    <x v="3"/>
    <n v="1"/>
    <x v="2"/>
  </r>
  <r>
    <s v="531-80-1784"/>
    <x v="0"/>
    <s v="Yangon"/>
    <x v="1"/>
    <s v="Male"/>
    <x v="1"/>
    <n v="26.02"/>
    <n v="7"/>
    <n v="9.1069999999999993"/>
    <n v="191.24700000000001"/>
    <d v="2019-03-28T00:00:00"/>
    <x v="180"/>
    <x v="1"/>
    <n v="182.14"/>
    <n v="4.7619047620000003"/>
    <n v="9.1069999999999993"/>
    <n v="5.0999999999999996"/>
    <n v="182.14"/>
    <x v="2"/>
    <n v="3"/>
    <x v="6"/>
  </r>
  <r>
    <s v="400-45-1220"/>
    <x v="2"/>
    <s v="Mandalay"/>
    <x v="1"/>
    <s v="Female"/>
    <x v="0"/>
    <n v="13.5"/>
    <n v="10"/>
    <n v="6.75"/>
    <n v="141.75"/>
    <d v="2019-02-27T00:00:00"/>
    <x v="281"/>
    <x v="2"/>
    <n v="135"/>
    <n v="4.7619047620000003"/>
    <n v="6.75"/>
    <n v="4.8"/>
    <n v="135"/>
    <x v="4"/>
    <n v="2"/>
    <x v="0"/>
  </r>
  <r>
    <s v="860-79-0874"/>
    <x v="1"/>
    <s v="Naypyitaw"/>
    <x v="0"/>
    <s v="Female"/>
    <x v="5"/>
    <n v="99.3"/>
    <n v="10"/>
    <n v="49.65"/>
    <n v="1042.6500000000001"/>
    <d v="2019-02-15T00:00:00"/>
    <x v="222"/>
    <x v="2"/>
    <n v="993"/>
    <n v="4.7619047620000003"/>
    <n v="49.65"/>
    <n v="6.6"/>
    <n v="993"/>
    <x v="4"/>
    <n v="2"/>
    <x v="3"/>
  </r>
  <r>
    <s v="834-61-8124"/>
    <x v="0"/>
    <s v="Yangon"/>
    <x v="1"/>
    <s v="Male"/>
    <x v="1"/>
    <n v="51.69"/>
    <n v="7"/>
    <n v="18.0915"/>
    <n v="379.92149999999998"/>
    <d v="2019-01-26T00:00:00"/>
    <x v="282"/>
    <x v="1"/>
    <n v="361.83"/>
    <n v="4.7619047620000003"/>
    <n v="18.0915"/>
    <n v="5.5"/>
    <n v="361.83"/>
    <x v="3"/>
    <n v="1"/>
    <x v="1"/>
  </r>
  <r>
    <s v="115-99-4379"/>
    <x v="2"/>
    <s v="Mandalay"/>
    <x v="0"/>
    <s v="Female"/>
    <x v="5"/>
    <n v="54.73"/>
    <n v="7"/>
    <n v="19.1555"/>
    <n v="402.26549999999997"/>
    <d v="2019-03-14T00:00:00"/>
    <x v="283"/>
    <x v="2"/>
    <n v="383.11"/>
    <n v="4.7619047620000003"/>
    <n v="19.1555"/>
    <n v="8.5"/>
    <n v="383.10999999999996"/>
    <x v="2"/>
    <n v="3"/>
    <x v="6"/>
  </r>
  <r>
    <s v="565-67-6697"/>
    <x v="2"/>
    <s v="Mandalay"/>
    <x v="0"/>
    <s v="Male"/>
    <x v="2"/>
    <n v="27"/>
    <n v="9"/>
    <n v="12.15"/>
    <n v="255.15"/>
    <d v="2019-02-03T00:00:00"/>
    <x v="249"/>
    <x v="1"/>
    <n v="243"/>
    <n v="4.7619047620000003"/>
    <n v="12.15"/>
    <n v="4.8"/>
    <n v="243"/>
    <x v="4"/>
    <n v="2"/>
    <x v="2"/>
  </r>
  <r>
    <s v="320-49-6392"/>
    <x v="1"/>
    <s v="Naypyitaw"/>
    <x v="1"/>
    <s v="Female"/>
    <x v="1"/>
    <n v="30.24"/>
    <n v="1"/>
    <n v="1.512"/>
    <n v="31.751999999999999"/>
    <d v="2019-04-03T00:00:00"/>
    <x v="284"/>
    <x v="1"/>
    <n v="30.24"/>
    <n v="4.7619047620000003"/>
    <n v="1.512"/>
    <n v="8.4"/>
    <n v="30.24"/>
    <x v="11"/>
    <n v="4"/>
    <x v="0"/>
  </r>
  <r>
    <s v="889-04-9723"/>
    <x v="2"/>
    <s v="Mandalay"/>
    <x v="0"/>
    <s v="Female"/>
    <x v="4"/>
    <n v="89.14"/>
    <n v="4"/>
    <n v="17.827999999999999"/>
    <n v="374.38799999999998"/>
    <d v="2019-07-01T00:00:00"/>
    <x v="22"/>
    <x v="2"/>
    <n v="356.56"/>
    <n v="4.7619047620000003"/>
    <n v="17.827999999999999"/>
    <n v="7.8"/>
    <n v="356.56"/>
    <x v="9"/>
    <n v="7"/>
    <x v="4"/>
  </r>
  <r>
    <s v="632-90-0281"/>
    <x v="1"/>
    <s v="Naypyitaw"/>
    <x v="1"/>
    <s v="Female"/>
    <x v="5"/>
    <n v="37.549999999999997"/>
    <n v="10"/>
    <n v="18.774999999999999"/>
    <n v="394.27499999999998"/>
    <d v="2019-08-03T00:00:00"/>
    <x v="285"/>
    <x v="2"/>
    <n v="375.5"/>
    <n v="4.7619047620000003"/>
    <n v="18.774999999999999"/>
    <n v="9.3000000000000007"/>
    <n v="375.5"/>
    <x v="1"/>
    <n v="8"/>
    <x v="1"/>
  </r>
  <r>
    <s v="554-42-2417"/>
    <x v="1"/>
    <s v="Naypyitaw"/>
    <x v="1"/>
    <s v="Female"/>
    <x v="3"/>
    <n v="95.44"/>
    <n v="10"/>
    <n v="47.72"/>
    <n v="1002.12"/>
    <d v="2019-09-01T00:00:00"/>
    <x v="286"/>
    <x v="1"/>
    <n v="954.4"/>
    <n v="4.7619047620000003"/>
    <n v="47.72"/>
    <n v="5.2"/>
    <n v="954.4"/>
    <x v="7"/>
    <n v="9"/>
    <x v="2"/>
  </r>
  <r>
    <s v="453-63-6187"/>
    <x v="2"/>
    <s v="Mandalay"/>
    <x v="1"/>
    <s v="Male"/>
    <x v="1"/>
    <n v="27.5"/>
    <n v="3"/>
    <n v="4.125"/>
    <n v="86.625"/>
    <d v="2019-01-03T00:00:00"/>
    <x v="287"/>
    <x v="0"/>
    <n v="82.5"/>
    <n v="4.7619047620000003"/>
    <n v="4.125"/>
    <n v="6.5"/>
    <n v="82.5"/>
    <x v="3"/>
    <n v="1"/>
    <x v="6"/>
  </r>
  <r>
    <s v="578-80-7669"/>
    <x v="2"/>
    <s v="Mandalay"/>
    <x v="1"/>
    <s v="Male"/>
    <x v="3"/>
    <n v="74.97"/>
    <n v="1"/>
    <n v="3.7484999999999999"/>
    <n v="78.718500000000006"/>
    <d v="2019-03-16T00:00:00"/>
    <x v="288"/>
    <x v="1"/>
    <n v="74.97"/>
    <n v="4.7619047620000003"/>
    <n v="3.7484999999999999"/>
    <n v="5.6"/>
    <n v="74.97"/>
    <x v="2"/>
    <n v="3"/>
    <x v="1"/>
  </r>
  <r>
    <s v="612-36-5536"/>
    <x v="0"/>
    <s v="Yangon"/>
    <x v="0"/>
    <s v="Male"/>
    <x v="4"/>
    <n v="80.959999999999994"/>
    <n v="8"/>
    <n v="32.384"/>
    <n v="680.06399999999996"/>
    <d v="2019-02-17T00:00:00"/>
    <x v="289"/>
    <x v="2"/>
    <n v="647.67999999999995"/>
    <n v="4.7619047620000003"/>
    <n v="32.384"/>
    <n v="7.4"/>
    <n v="647.67999999999995"/>
    <x v="4"/>
    <n v="2"/>
    <x v="2"/>
  </r>
  <r>
    <s v="605-72-4132"/>
    <x v="1"/>
    <s v="Naypyitaw"/>
    <x v="1"/>
    <s v="Female"/>
    <x v="4"/>
    <n v="94.47"/>
    <n v="8"/>
    <n v="37.787999999999997"/>
    <n v="793.548"/>
    <d v="2019-02-27T00:00:00"/>
    <x v="290"/>
    <x v="1"/>
    <n v="755.76"/>
    <n v="4.7619047620000003"/>
    <n v="37.787999999999997"/>
    <n v="9.1"/>
    <n v="755.76"/>
    <x v="4"/>
    <n v="2"/>
    <x v="0"/>
  </r>
  <r>
    <s v="471-41-2823"/>
    <x v="1"/>
    <s v="Naypyitaw"/>
    <x v="1"/>
    <s v="Male"/>
    <x v="4"/>
    <n v="99.79"/>
    <n v="2"/>
    <n v="9.9789999999999992"/>
    <n v="209.559"/>
    <d v="2019-07-03T00:00:00"/>
    <x v="291"/>
    <x v="0"/>
    <n v="199.58"/>
    <n v="4.7619047620000003"/>
    <n v="9.9789999999999992"/>
    <n v="8"/>
    <n v="199.58"/>
    <x v="9"/>
    <n v="7"/>
    <x v="0"/>
  </r>
  <r>
    <s v="462-67-9126"/>
    <x v="0"/>
    <s v="Yangon"/>
    <x v="1"/>
    <s v="Male"/>
    <x v="2"/>
    <n v="73.22"/>
    <n v="6"/>
    <n v="21.966000000000001"/>
    <n v="461.286"/>
    <d v="2019-01-21T00:00:00"/>
    <x v="292"/>
    <x v="1"/>
    <n v="439.32"/>
    <n v="4.7619047620000003"/>
    <n v="21.966000000000001"/>
    <n v="7.2"/>
    <n v="439.32"/>
    <x v="3"/>
    <n v="1"/>
    <x v="4"/>
  </r>
  <r>
    <s v="272-27-9238"/>
    <x v="1"/>
    <s v="Naypyitaw"/>
    <x v="1"/>
    <s v="Female"/>
    <x v="4"/>
    <n v="41.24"/>
    <n v="4"/>
    <n v="8.2479999999999993"/>
    <n v="173.208"/>
    <d v="2019-02-19T00:00:00"/>
    <x v="293"/>
    <x v="1"/>
    <n v="164.96"/>
    <n v="4.7619047620000003"/>
    <n v="8.2479999999999993"/>
    <n v="7.1"/>
    <n v="164.96"/>
    <x v="4"/>
    <n v="2"/>
    <x v="5"/>
  </r>
  <r>
    <s v="834-25-9262"/>
    <x v="1"/>
    <s v="Naypyitaw"/>
    <x v="1"/>
    <s v="Female"/>
    <x v="5"/>
    <n v="81.680000000000007"/>
    <n v="4"/>
    <n v="16.335999999999999"/>
    <n v="343.05599999999998"/>
    <d v="2019-06-01T00:00:00"/>
    <x v="294"/>
    <x v="1"/>
    <n v="326.72000000000003"/>
    <n v="4.7619047620000003"/>
    <n v="16.335999999999999"/>
    <n v="9.1"/>
    <n v="326.72000000000003"/>
    <x v="6"/>
    <n v="6"/>
    <x v="1"/>
  </r>
  <r>
    <s v="122-61-9553"/>
    <x v="1"/>
    <s v="Naypyitaw"/>
    <x v="1"/>
    <s v="Female"/>
    <x v="1"/>
    <n v="51.32"/>
    <n v="9"/>
    <n v="23.094000000000001"/>
    <n v="484.97399999999999"/>
    <d v="2019-03-14T00:00:00"/>
    <x v="295"/>
    <x v="1"/>
    <n v="461.88"/>
    <n v="4.7619047620000003"/>
    <n v="23.094000000000001"/>
    <n v="5.6"/>
    <n v="461.88"/>
    <x v="2"/>
    <n v="3"/>
    <x v="6"/>
  </r>
  <r>
    <s v="468-88-0009"/>
    <x v="0"/>
    <s v="Yangon"/>
    <x v="0"/>
    <s v="Male"/>
    <x v="2"/>
    <n v="65.94"/>
    <n v="4"/>
    <n v="13.188000000000001"/>
    <n v="276.94799999999998"/>
    <d v="2019-03-24T00:00:00"/>
    <x v="1"/>
    <x v="1"/>
    <n v="263.76"/>
    <n v="4.7619047620000003"/>
    <n v="13.188000000000001"/>
    <n v="6"/>
    <n v="263.76"/>
    <x v="2"/>
    <n v="3"/>
    <x v="2"/>
  </r>
  <r>
    <s v="613-59-9758"/>
    <x v="1"/>
    <s v="Naypyitaw"/>
    <x v="1"/>
    <s v="Female"/>
    <x v="3"/>
    <n v="14.36"/>
    <n v="10"/>
    <n v="7.18"/>
    <n v="150.78"/>
    <d v="2019-01-27T00:00:00"/>
    <x v="296"/>
    <x v="1"/>
    <n v="143.6"/>
    <n v="4.7619047620000003"/>
    <n v="7.18"/>
    <n v="5.4"/>
    <n v="143.6"/>
    <x v="3"/>
    <n v="1"/>
    <x v="2"/>
  </r>
  <r>
    <s v="254-31-0042"/>
    <x v="0"/>
    <s v="Yangon"/>
    <x v="0"/>
    <s v="Male"/>
    <x v="1"/>
    <n v="21.5"/>
    <n v="9"/>
    <n v="9.6750000000000007"/>
    <n v="203.17500000000001"/>
    <d v="2019-06-03T00:00:00"/>
    <x v="69"/>
    <x v="2"/>
    <n v="193.5"/>
    <n v="4.7619047620000003"/>
    <n v="9.6750000000000007"/>
    <n v="7.8"/>
    <n v="193.5"/>
    <x v="6"/>
    <n v="6"/>
    <x v="4"/>
  </r>
  <r>
    <s v="201-86-2184"/>
    <x v="2"/>
    <s v="Mandalay"/>
    <x v="0"/>
    <s v="Female"/>
    <x v="1"/>
    <n v="26.26"/>
    <n v="7"/>
    <n v="9.1910000000000007"/>
    <n v="193.011"/>
    <d v="2019-02-02T00:00:00"/>
    <x v="138"/>
    <x v="1"/>
    <n v="183.82"/>
    <n v="4.7619047620000003"/>
    <n v="9.1910000000000007"/>
    <n v="9.9"/>
    <n v="183.82000000000002"/>
    <x v="4"/>
    <n v="2"/>
    <x v="1"/>
  </r>
  <r>
    <s v="261-12-8671"/>
    <x v="2"/>
    <s v="Mandalay"/>
    <x v="1"/>
    <s v="Female"/>
    <x v="5"/>
    <n v="60.96"/>
    <n v="2"/>
    <n v="6.0960000000000001"/>
    <n v="128.01599999999999"/>
    <d v="2019-01-25T00:00:00"/>
    <x v="30"/>
    <x v="2"/>
    <n v="121.92"/>
    <n v="4.7619047620000003"/>
    <n v="6.0960000000000001"/>
    <n v="4.9000000000000004"/>
    <n v="121.92"/>
    <x v="3"/>
    <n v="1"/>
    <x v="3"/>
  </r>
  <r>
    <s v="730-70-9830"/>
    <x v="1"/>
    <s v="Naypyitaw"/>
    <x v="1"/>
    <s v="Female"/>
    <x v="2"/>
    <n v="70.11"/>
    <n v="6"/>
    <n v="21.033000000000001"/>
    <n v="441.69299999999998"/>
    <d v="2019-03-14T00:00:00"/>
    <x v="297"/>
    <x v="0"/>
    <n v="420.66"/>
    <n v="4.7619047620000003"/>
    <n v="21.033000000000001"/>
    <n v="5.2"/>
    <n v="420.65999999999997"/>
    <x v="2"/>
    <n v="3"/>
    <x v="6"/>
  </r>
  <r>
    <s v="382-25-8917"/>
    <x v="1"/>
    <s v="Naypyitaw"/>
    <x v="1"/>
    <s v="Male"/>
    <x v="5"/>
    <n v="42.08"/>
    <n v="6"/>
    <n v="12.624000000000001"/>
    <n v="265.10399999999998"/>
    <d v="2019-01-29T00:00:00"/>
    <x v="298"/>
    <x v="1"/>
    <n v="252.48"/>
    <n v="4.7619047620000003"/>
    <n v="12.624000000000001"/>
    <n v="8.9"/>
    <n v="252.48"/>
    <x v="3"/>
    <n v="1"/>
    <x v="5"/>
  </r>
  <r>
    <s v="422-29-8786"/>
    <x v="0"/>
    <s v="Yangon"/>
    <x v="1"/>
    <s v="Female"/>
    <x v="2"/>
    <n v="67.09"/>
    <n v="5"/>
    <n v="16.772500000000001"/>
    <n v="352.22250000000003"/>
    <d v="2019-03-01T00:00:00"/>
    <x v="157"/>
    <x v="2"/>
    <n v="335.45"/>
    <n v="4.7619047620000003"/>
    <n v="16.772500000000001"/>
    <n v="9.1"/>
    <n v="335.45000000000005"/>
    <x v="2"/>
    <n v="3"/>
    <x v="3"/>
  </r>
  <r>
    <s v="667-23-5919"/>
    <x v="0"/>
    <s v="Yangon"/>
    <x v="0"/>
    <s v="Female"/>
    <x v="5"/>
    <n v="96.7"/>
    <n v="5"/>
    <n v="24.175000000000001"/>
    <n v="507.67500000000001"/>
    <d v="2019-01-14T00:00:00"/>
    <x v="299"/>
    <x v="0"/>
    <n v="483.5"/>
    <n v="4.7619047620000003"/>
    <n v="24.175000000000001"/>
    <n v="7"/>
    <n v="483.5"/>
    <x v="3"/>
    <n v="1"/>
    <x v="4"/>
  </r>
  <r>
    <s v="843-01-4703"/>
    <x v="2"/>
    <s v="Mandalay"/>
    <x v="0"/>
    <s v="Female"/>
    <x v="2"/>
    <n v="35.380000000000003"/>
    <n v="9"/>
    <n v="15.920999999999999"/>
    <n v="334.34100000000001"/>
    <d v="2019-05-01T00:00:00"/>
    <x v="300"/>
    <x v="2"/>
    <n v="318.42"/>
    <n v="4.7619047620000003"/>
    <n v="15.920999999999999"/>
    <n v="9.6"/>
    <n v="318.42"/>
    <x v="0"/>
    <n v="5"/>
    <x v="0"/>
  </r>
  <r>
    <s v="743-88-1662"/>
    <x v="1"/>
    <s v="Naypyitaw"/>
    <x v="1"/>
    <s v="Male"/>
    <x v="3"/>
    <n v="95.49"/>
    <n v="7"/>
    <n v="33.421500000000002"/>
    <n v="701.85149999999999"/>
    <d v="2019-02-22T00:00:00"/>
    <x v="70"/>
    <x v="0"/>
    <n v="668.43"/>
    <n v="4.7619047620000003"/>
    <n v="33.421500000000002"/>
    <n v="8.6999999999999993"/>
    <n v="668.43"/>
    <x v="4"/>
    <n v="2"/>
    <x v="3"/>
  </r>
  <r>
    <s v="595-86-2894"/>
    <x v="1"/>
    <s v="Naypyitaw"/>
    <x v="0"/>
    <s v="Male"/>
    <x v="5"/>
    <n v="96.98"/>
    <n v="4"/>
    <n v="19.396000000000001"/>
    <n v="407.31599999999997"/>
    <d v="2019-06-02T00:00:00"/>
    <x v="244"/>
    <x v="0"/>
    <n v="387.92"/>
    <n v="4.7619047620000003"/>
    <n v="19.396000000000001"/>
    <n v="9.4"/>
    <n v="387.92"/>
    <x v="6"/>
    <n v="6"/>
    <x v="2"/>
  </r>
  <r>
    <s v="182-69-8360"/>
    <x v="2"/>
    <s v="Mandalay"/>
    <x v="1"/>
    <s v="Female"/>
    <x v="1"/>
    <n v="23.65"/>
    <n v="4"/>
    <n v="4.7300000000000004"/>
    <n v="99.33"/>
    <d v="2019-01-30T00:00:00"/>
    <x v="147"/>
    <x v="2"/>
    <n v="94.6"/>
    <n v="4.7619047620000003"/>
    <n v="4.7300000000000004"/>
    <n v="4"/>
    <n v="94.6"/>
    <x v="3"/>
    <n v="1"/>
    <x v="0"/>
  </r>
  <r>
    <s v="289-15-7034"/>
    <x v="0"/>
    <s v="Yangon"/>
    <x v="0"/>
    <s v="Male"/>
    <x v="3"/>
    <n v="82.33"/>
    <n v="4"/>
    <n v="16.466000000000001"/>
    <n v="345.786"/>
    <d v="2019-11-01T00:00:00"/>
    <x v="4"/>
    <x v="2"/>
    <n v="329.32"/>
    <n v="4.7619047620000003"/>
    <n v="16.466000000000001"/>
    <n v="7.5"/>
    <n v="329.32"/>
    <x v="10"/>
    <n v="11"/>
    <x v="3"/>
  </r>
  <r>
    <s v="462-78-5240"/>
    <x v="1"/>
    <s v="Naypyitaw"/>
    <x v="1"/>
    <s v="Female"/>
    <x v="1"/>
    <n v="26.61"/>
    <n v="2"/>
    <n v="2.661"/>
    <n v="55.881"/>
    <d v="2019-03-19T00:00:00"/>
    <x v="63"/>
    <x v="1"/>
    <n v="53.22"/>
    <n v="4.7619047620000003"/>
    <n v="2.661"/>
    <n v="4.2"/>
    <n v="53.22"/>
    <x v="2"/>
    <n v="3"/>
    <x v="5"/>
  </r>
  <r>
    <s v="868-52-7573"/>
    <x v="2"/>
    <s v="Mandalay"/>
    <x v="1"/>
    <s v="Female"/>
    <x v="4"/>
    <n v="99.69"/>
    <n v="5"/>
    <n v="24.922499999999999"/>
    <n v="523.37249999999995"/>
    <d v="2019-01-14T00:00:00"/>
    <x v="87"/>
    <x v="1"/>
    <n v="498.45"/>
    <n v="4.7619047620000003"/>
    <n v="24.922499999999999"/>
    <n v="9.9"/>
    <n v="498.45"/>
    <x v="3"/>
    <n v="1"/>
    <x v="4"/>
  </r>
  <r>
    <s v="153-58-4872"/>
    <x v="1"/>
    <s v="Naypyitaw"/>
    <x v="0"/>
    <s v="Female"/>
    <x v="4"/>
    <n v="74.89"/>
    <n v="4"/>
    <n v="14.978"/>
    <n v="314.53800000000001"/>
    <d v="2019-01-03T00:00:00"/>
    <x v="301"/>
    <x v="0"/>
    <n v="299.56"/>
    <n v="4.7619047620000003"/>
    <n v="14.978"/>
    <n v="4.2"/>
    <n v="299.56"/>
    <x v="3"/>
    <n v="1"/>
    <x v="6"/>
  </r>
  <r>
    <s v="662-72-2873"/>
    <x v="0"/>
    <s v="Yangon"/>
    <x v="1"/>
    <s v="Female"/>
    <x v="4"/>
    <n v="40.94"/>
    <n v="5"/>
    <n v="10.234999999999999"/>
    <n v="214.935"/>
    <d v="2019-06-01T00:00:00"/>
    <x v="139"/>
    <x v="0"/>
    <n v="204.7"/>
    <n v="4.7619047620000003"/>
    <n v="10.234999999999999"/>
    <n v="9.9"/>
    <n v="204.7"/>
    <x v="6"/>
    <n v="6"/>
    <x v="1"/>
  </r>
  <r>
    <s v="525-88-7307"/>
    <x v="2"/>
    <s v="Mandalay"/>
    <x v="0"/>
    <s v="Male"/>
    <x v="3"/>
    <n v="75.819999999999993"/>
    <n v="1"/>
    <n v="3.7909999999999999"/>
    <n v="79.611000000000004"/>
    <d v="2019-01-31T00:00:00"/>
    <x v="302"/>
    <x v="1"/>
    <n v="75.819999999999993"/>
    <n v="4.7619047620000003"/>
    <n v="3.7909999999999999"/>
    <n v="5.8"/>
    <n v="75.819999999999993"/>
    <x v="3"/>
    <n v="1"/>
    <x v="6"/>
  </r>
  <r>
    <s v="689-16-9784"/>
    <x v="1"/>
    <s v="Naypyitaw"/>
    <x v="1"/>
    <s v="Male"/>
    <x v="4"/>
    <n v="46.77"/>
    <n v="6"/>
    <n v="14.031000000000001"/>
    <n v="294.65100000000001"/>
    <d v="2019-11-03T00:00:00"/>
    <x v="303"/>
    <x v="1"/>
    <n v="280.62"/>
    <n v="4.7619047620000003"/>
    <n v="14.031000000000001"/>
    <n v="6"/>
    <n v="280.62"/>
    <x v="10"/>
    <n v="11"/>
    <x v="2"/>
  </r>
  <r>
    <s v="725-56-0833"/>
    <x v="0"/>
    <s v="Yangon"/>
    <x v="1"/>
    <s v="Female"/>
    <x v="0"/>
    <n v="32.32"/>
    <n v="10"/>
    <n v="16.16"/>
    <n v="339.36"/>
    <d v="2019-02-20T00:00:00"/>
    <x v="208"/>
    <x v="2"/>
    <n v="323.2"/>
    <n v="4.7619047620000003"/>
    <n v="16.16"/>
    <n v="10"/>
    <n v="323.2"/>
    <x v="4"/>
    <n v="2"/>
    <x v="0"/>
  </r>
  <r>
    <s v="394-41-0748"/>
    <x v="1"/>
    <s v="Naypyitaw"/>
    <x v="0"/>
    <s v="Female"/>
    <x v="5"/>
    <n v="54.07"/>
    <n v="9"/>
    <n v="24.331499999999998"/>
    <n v="510.9615"/>
    <d v="2019-01-27T00:00:00"/>
    <x v="304"/>
    <x v="0"/>
    <n v="486.63"/>
    <n v="4.7619047620000003"/>
    <n v="24.331499999999998"/>
    <n v="9.5"/>
    <n v="486.63"/>
    <x v="3"/>
    <n v="1"/>
    <x v="2"/>
  </r>
  <r>
    <s v="596-42-3999"/>
    <x v="2"/>
    <s v="Mandalay"/>
    <x v="1"/>
    <s v="Male"/>
    <x v="4"/>
    <n v="18.22"/>
    <n v="7"/>
    <n v="6.3769999999999998"/>
    <n v="133.917"/>
    <d v="2019-10-03T00:00:00"/>
    <x v="214"/>
    <x v="2"/>
    <n v="127.54"/>
    <n v="4.7619047620000003"/>
    <n v="6.3769999999999998"/>
    <n v="6.6"/>
    <n v="127.53999999999999"/>
    <x v="5"/>
    <n v="10"/>
    <x v="6"/>
  </r>
  <r>
    <s v="541-89-9860"/>
    <x v="1"/>
    <s v="Naypyitaw"/>
    <x v="0"/>
    <s v="Female"/>
    <x v="5"/>
    <n v="80.48"/>
    <n v="3"/>
    <n v="12.071999999999999"/>
    <n v="253.512"/>
    <d v="2019-02-15T00:00:00"/>
    <x v="305"/>
    <x v="1"/>
    <n v="241.44"/>
    <n v="4.7619047620000003"/>
    <n v="12.071999999999999"/>
    <n v="8.1"/>
    <n v="241.44"/>
    <x v="4"/>
    <n v="2"/>
    <x v="3"/>
  </r>
  <r>
    <s v="173-82-9529"/>
    <x v="2"/>
    <s v="Mandalay"/>
    <x v="1"/>
    <s v="Female"/>
    <x v="5"/>
    <n v="37.950000000000003"/>
    <n v="10"/>
    <n v="18.975000000000001"/>
    <n v="398.47500000000002"/>
    <d v="2019-01-26T00:00:00"/>
    <x v="178"/>
    <x v="1"/>
    <n v="379.5"/>
    <n v="4.7619047620000003"/>
    <n v="18.975000000000001"/>
    <n v="9.6999999999999993"/>
    <n v="379.5"/>
    <x v="3"/>
    <n v="1"/>
    <x v="1"/>
  </r>
  <r>
    <s v="563-36-9814"/>
    <x v="0"/>
    <s v="Yangon"/>
    <x v="0"/>
    <s v="Male"/>
    <x v="1"/>
    <n v="76.819999999999993"/>
    <n v="1"/>
    <n v="3.8410000000000002"/>
    <n v="80.661000000000001"/>
    <d v="2019-02-13T00:00:00"/>
    <x v="185"/>
    <x v="0"/>
    <n v="76.819999999999993"/>
    <n v="4.7619047620000003"/>
    <n v="3.8410000000000002"/>
    <n v="7.2"/>
    <n v="76.819999999999993"/>
    <x v="4"/>
    <n v="2"/>
    <x v="0"/>
  </r>
  <r>
    <s v="308-47-4913"/>
    <x v="0"/>
    <s v="Yangon"/>
    <x v="0"/>
    <s v="Female"/>
    <x v="3"/>
    <n v="52.26"/>
    <n v="10"/>
    <n v="26.13"/>
    <n v="548.73"/>
    <d v="2019-09-03T00:00:00"/>
    <x v="47"/>
    <x v="2"/>
    <n v="522.6"/>
    <n v="4.7619047620000003"/>
    <n v="26.13"/>
    <n v="6.2"/>
    <n v="522.6"/>
    <x v="7"/>
    <n v="9"/>
    <x v="5"/>
  </r>
  <r>
    <s v="885-17-6250"/>
    <x v="0"/>
    <s v="Yangon"/>
    <x v="1"/>
    <s v="Female"/>
    <x v="0"/>
    <n v="79.739999999999995"/>
    <n v="1"/>
    <n v="3.9870000000000001"/>
    <n v="83.727000000000004"/>
    <d v="2019-06-03T00:00:00"/>
    <x v="130"/>
    <x v="0"/>
    <n v="79.739999999999995"/>
    <n v="4.7619047620000003"/>
    <n v="3.9870000000000001"/>
    <n v="7.3"/>
    <n v="79.739999999999995"/>
    <x v="6"/>
    <n v="6"/>
    <x v="4"/>
  </r>
  <r>
    <s v="726-27-2396"/>
    <x v="0"/>
    <s v="Yangon"/>
    <x v="1"/>
    <s v="Female"/>
    <x v="0"/>
    <n v="77.5"/>
    <n v="5"/>
    <n v="19.375"/>
    <n v="406.875"/>
    <d v="2019-01-24T00:00:00"/>
    <x v="58"/>
    <x v="0"/>
    <n v="387.5"/>
    <n v="4.7619047620000003"/>
    <n v="19.375"/>
    <n v="4.3"/>
    <n v="387.5"/>
    <x v="3"/>
    <n v="1"/>
    <x v="6"/>
  </r>
  <r>
    <s v="316-01-3952"/>
    <x v="0"/>
    <s v="Yangon"/>
    <x v="1"/>
    <s v="Female"/>
    <x v="4"/>
    <n v="54.27"/>
    <n v="5"/>
    <n v="13.567500000000001"/>
    <n v="284.91750000000002"/>
    <d v="2019-03-13T00:00:00"/>
    <x v="249"/>
    <x v="0"/>
    <n v="271.35000000000002"/>
    <n v="4.7619047620000003"/>
    <n v="13.567500000000001"/>
    <n v="4.5999999999999996"/>
    <n v="271.35000000000002"/>
    <x v="2"/>
    <n v="3"/>
    <x v="0"/>
  </r>
  <r>
    <s v="760-54-1821"/>
    <x v="2"/>
    <s v="Mandalay"/>
    <x v="1"/>
    <s v="Male"/>
    <x v="2"/>
    <n v="13.59"/>
    <n v="9"/>
    <n v="6.1154999999999999"/>
    <n v="128.4255"/>
    <d v="2019-03-15T00:00:00"/>
    <x v="306"/>
    <x v="1"/>
    <n v="122.31"/>
    <n v="4.7619047620000003"/>
    <n v="6.1154999999999999"/>
    <n v="5.8"/>
    <n v="122.31"/>
    <x v="2"/>
    <n v="3"/>
    <x v="3"/>
  </r>
  <r>
    <s v="793-10-3222"/>
    <x v="2"/>
    <s v="Mandalay"/>
    <x v="0"/>
    <s v="Female"/>
    <x v="0"/>
    <n v="41.06"/>
    <n v="6"/>
    <n v="12.318"/>
    <n v="258.678"/>
    <d v="2019-05-03T00:00:00"/>
    <x v="241"/>
    <x v="2"/>
    <n v="246.36"/>
    <n v="4.7619047620000003"/>
    <n v="12.318"/>
    <n v="8.3000000000000007"/>
    <n v="246.36"/>
    <x v="0"/>
    <n v="5"/>
    <x v="3"/>
  </r>
  <r>
    <s v="346-12-3257"/>
    <x v="2"/>
    <s v="Mandalay"/>
    <x v="0"/>
    <s v="Male"/>
    <x v="1"/>
    <n v="19.239999999999998"/>
    <n v="9"/>
    <n v="8.6579999999999995"/>
    <n v="181.81800000000001"/>
    <d v="2019-04-03T00:00:00"/>
    <x v="235"/>
    <x v="1"/>
    <n v="173.16"/>
    <n v="4.7619047620000003"/>
    <n v="8.6579999999999995"/>
    <n v="8"/>
    <n v="173.16"/>
    <x v="11"/>
    <n v="4"/>
    <x v="0"/>
  </r>
  <r>
    <s v="110-05-6330"/>
    <x v="1"/>
    <s v="Naypyitaw"/>
    <x v="1"/>
    <s v="Female"/>
    <x v="4"/>
    <n v="39.43"/>
    <n v="6"/>
    <n v="11.829000000000001"/>
    <n v="248.40899999999999"/>
    <d v="2019-03-25T00:00:00"/>
    <x v="307"/>
    <x v="2"/>
    <n v="236.58"/>
    <n v="4.7619047620000003"/>
    <n v="11.829000000000001"/>
    <n v="9.4"/>
    <n v="236.57999999999998"/>
    <x v="2"/>
    <n v="3"/>
    <x v="4"/>
  </r>
  <r>
    <s v="651-61-0874"/>
    <x v="1"/>
    <s v="Naypyitaw"/>
    <x v="1"/>
    <s v="Male"/>
    <x v="2"/>
    <n v="46.22"/>
    <n v="4"/>
    <n v="9.2439999999999998"/>
    <n v="194.124"/>
    <d v="2019-12-03T00:00:00"/>
    <x v="308"/>
    <x v="2"/>
    <n v="184.88"/>
    <n v="4.7619047620000003"/>
    <n v="9.2439999999999998"/>
    <n v="6.2"/>
    <n v="184.88"/>
    <x v="8"/>
    <n v="12"/>
    <x v="5"/>
  </r>
  <r>
    <s v="236-86-3015"/>
    <x v="1"/>
    <s v="Naypyitaw"/>
    <x v="0"/>
    <s v="Male"/>
    <x v="2"/>
    <n v="13.98"/>
    <n v="1"/>
    <n v="0.69899999999999995"/>
    <n v="14.679"/>
    <d v="2019-04-02T00:00:00"/>
    <x v="309"/>
    <x v="0"/>
    <n v="13.98"/>
    <n v="4.7619047620000003"/>
    <n v="0.69899999999999995"/>
    <n v="9.8000000000000007"/>
    <n v="13.98"/>
    <x v="11"/>
    <n v="4"/>
    <x v="5"/>
  </r>
  <r>
    <s v="831-64-0259"/>
    <x v="2"/>
    <s v="Mandalay"/>
    <x v="1"/>
    <s v="Female"/>
    <x v="5"/>
    <n v="39.75"/>
    <n v="5"/>
    <n v="9.9375"/>
    <n v="208.6875"/>
    <d v="2019-02-22T00:00:00"/>
    <x v="100"/>
    <x v="0"/>
    <n v="198.75"/>
    <n v="4.7619047620000003"/>
    <n v="9.9375"/>
    <n v="9.6"/>
    <n v="198.75"/>
    <x v="4"/>
    <n v="2"/>
    <x v="3"/>
  </r>
  <r>
    <s v="587-03-7455"/>
    <x v="1"/>
    <s v="Naypyitaw"/>
    <x v="0"/>
    <s v="Female"/>
    <x v="5"/>
    <n v="97.79"/>
    <n v="7"/>
    <n v="34.226500000000001"/>
    <n v="718.75649999999996"/>
    <d v="2019-02-16T00:00:00"/>
    <x v="310"/>
    <x v="0"/>
    <n v="684.53"/>
    <n v="4.7619047620000003"/>
    <n v="34.226500000000001"/>
    <n v="4.9000000000000004"/>
    <n v="684.53000000000009"/>
    <x v="4"/>
    <n v="2"/>
    <x v="1"/>
  </r>
  <r>
    <s v="882-40-4577"/>
    <x v="0"/>
    <s v="Yangon"/>
    <x v="0"/>
    <s v="Male"/>
    <x v="3"/>
    <n v="67.260000000000005"/>
    <n v="4"/>
    <n v="13.452"/>
    <n v="282.49200000000002"/>
    <d v="2019-01-19T00:00:00"/>
    <x v="311"/>
    <x v="2"/>
    <n v="269.04000000000002"/>
    <n v="4.7619047620000003"/>
    <n v="13.452"/>
    <n v="8"/>
    <n v="269.04000000000002"/>
    <x v="3"/>
    <n v="1"/>
    <x v="1"/>
  </r>
  <r>
    <s v="732-67-5346"/>
    <x v="0"/>
    <s v="Yangon"/>
    <x v="1"/>
    <s v="Male"/>
    <x v="4"/>
    <n v="13.79"/>
    <n v="5"/>
    <n v="3.4474999999999998"/>
    <n v="72.397499999999994"/>
    <d v="2019-11-01T00:00:00"/>
    <x v="312"/>
    <x v="2"/>
    <n v="68.95"/>
    <n v="4.7619047620000003"/>
    <n v="3.4474999999999998"/>
    <n v="7.8"/>
    <n v="68.949999999999989"/>
    <x v="10"/>
    <n v="11"/>
    <x v="3"/>
  </r>
  <r>
    <s v="725-32-9708"/>
    <x v="2"/>
    <s v="Mandalay"/>
    <x v="0"/>
    <s v="Female"/>
    <x v="5"/>
    <n v="68.709999999999994"/>
    <n v="4"/>
    <n v="13.742000000000001"/>
    <n v="288.58199999999999"/>
    <d v="2019-04-01T00:00:00"/>
    <x v="54"/>
    <x v="1"/>
    <n v="274.83999999999997"/>
    <n v="4.7619047620000003"/>
    <n v="13.742000000000001"/>
    <n v="4.0999999999999996"/>
    <n v="274.83999999999997"/>
    <x v="11"/>
    <n v="4"/>
    <x v="4"/>
  </r>
  <r>
    <s v="256-08-8343"/>
    <x v="0"/>
    <s v="Yangon"/>
    <x v="1"/>
    <s v="Female"/>
    <x v="2"/>
    <n v="56.53"/>
    <n v="4"/>
    <n v="11.305999999999999"/>
    <n v="237.42599999999999"/>
    <d v="2019-04-03T00:00:00"/>
    <x v="28"/>
    <x v="0"/>
    <n v="226.12"/>
    <n v="4.7619047620000003"/>
    <n v="11.305999999999999"/>
    <n v="5.5"/>
    <n v="226.12"/>
    <x v="11"/>
    <n v="4"/>
    <x v="0"/>
  </r>
  <r>
    <s v="372-26-1506"/>
    <x v="1"/>
    <s v="Naypyitaw"/>
    <x v="1"/>
    <s v="Female"/>
    <x v="5"/>
    <n v="23.82"/>
    <n v="5"/>
    <n v="5.9550000000000001"/>
    <n v="125.05500000000001"/>
    <d v="2019-01-28T00:00:00"/>
    <x v="225"/>
    <x v="0"/>
    <n v="119.1"/>
    <n v="4.7619047620000003"/>
    <n v="5.9550000000000001"/>
    <n v="5.4"/>
    <n v="119.1"/>
    <x v="3"/>
    <n v="1"/>
    <x v="4"/>
  </r>
  <r>
    <s v="244-08-0162"/>
    <x v="2"/>
    <s v="Mandalay"/>
    <x v="1"/>
    <s v="Female"/>
    <x v="0"/>
    <n v="34.21"/>
    <n v="10"/>
    <n v="17.105"/>
    <n v="359.20499999999998"/>
    <d v="2019-02-01T00:00:00"/>
    <x v="127"/>
    <x v="1"/>
    <n v="342.1"/>
    <n v="4.7619047620000003"/>
    <n v="17.105"/>
    <n v="5.0999999999999996"/>
    <n v="342.1"/>
    <x v="4"/>
    <n v="2"/>
    <x v="3"/>
  </r>
  <r>
    <s v="569-71-4390"/>
    <x v="2"/>
    <s v="Mandalay"/>
    <x v="1"/>
    <s v="Male"/>
    <x v="3"/>
    <n v="21.87"/>
    <n v="2"/>
    <n v="2.1869999999999998"/>
    <n v="45.927"/>
    <d v="2019-01-25T00:00:00"/>
    <x v="194"/>
    <x v="0"/>
    <n v="43.74"/>
    <n v="4.7619047620000003"/>
    <n v="2.1869999999999998"/>
    <n v="6.9"/>
    <n v="43.74"/>
    <x v="3"/>
    <n v="1"/>
    <x v="3"/>
  </r>
  <r>
    <s v="132-23-6451"/>
    <x v="0"/>
    <s v="Yangon"/>
    <x v="0"/>
    <s v="Male"/>
    <x v="0"/>
    <n v="20.97"/>
    <n v="5"/>
    <n v="5.2424999999999997"/>
    <n v="110.0925"/>
    <d v="2019-04-01T00:00:00"/>
    <x v="265"/>
    <x v="1"/>
    <n v="104.85"/>
    <n v="4.7619047620000003"/>
    <n v="5.2424999999999997"/>
    <n v="7.8"/>
    <n v="104.85"/>
    <x v="11"/>
    <n v="4"/>
    <x v="4"/>
  </r>
  <r>
    <s v="696-90-2548"/>
    <x v="0"/>
    <s v="Yangon"/>
    <x v="1"/>
    <s v="Male"/>
    <x v="3"/>
    <n v="25.84"/>
    <n v="3"/>
    <n v="3.8759999999999999"/>
    <n v="81.396000000000001"/>
    <d v="2019-10-03T00:00:00"/>
    <x v="313"/>
    <x v="0"/>
    <n v="77.52"/>
    <n v="4.7619047620000003"/>
    <n v="3.8759999999999999"/>
    <n v="6.6"/>
    <n v="77.52"/>
    <x v="5"/>
    <n v="10"/>
    <x v="6"/>
  </r>
  <r>
    <s v="472-15-9636"/>
    <x v="0"/>
    <s v="Yangon"/>
    <x v="1"/>
    <s v="Male"/>
    <x v="2"/>
    <n v="50.93"/>
    <n v="8"/>
    <n v="20.372"/>
    <n v="427.81200000000001"/>
    <d v="2019-03-22T00:00:00"/>
    <x v="314"/>
    <x v="0"/>
    <n v="407.44"/>
    <n v="4.7619047620000003"/>
    <n v="20.372"/>
    <n v="9.1999999999999993"/>
    <n v="407.44"/>
    <x v="2"/>
    <n v="3"/>
    <x v="3"/>
  </r>
  <r>
    <s v="268-03-6164"/>
    <x v="2"/>
    <s v="Mandalay"/>
    <x v="1"/>
    <s v="Male"/>
    <x v="0"/>
    <n v="96.11"/>
    <n v="1"/>
    <n v="4.8055000000000003"/>
    <n v="100.91549999999999"/>
    <d v="2019-01-25T00:00:00"/>
    <x v="235"/>
    <x v="0"/>
    <n v="96.11"/>
    <n v="4.7619047620000003"/>
    <n v="4.8055000000000003"/>
    <n v="7.8"/>
    <n v="96.11"/>
    <x v="3"/>
    <n v="1"/>
    <x v="3"/>
  </r>
  <r>
    <s v="750-57-9686"/>
    <x v="1"/>
    <s v="Naypyitaw"/>
    <x v="1"/>
    <s v="Female"/>
    <x v="2"/>
    <n v="45.38"/>
    <n v="4"/>
    <n v="9.0760000000000005"/>
    <n v="190.596"/>
    <d v="2019-08-01T00:00:00"/>
    <x v="128"/>
    <x v="2"/>
    <n v="181.52"/>
    <n v="4.7619047620000003"/>
    <n v="9.0760000000000005"/>
    <n v="8.6999999999999993"/>
    <n v="181.52"/>
    <x v="1"/>
    <n v="8"/>
    <x v="6"/>
  </r>
  <r>
    <s v="186-09-3669"/>
    <x v="1"/>
    <s v="Naypyitaw"/>
    <x v="0"/>
    <s v="Female"/>
    <x v="0"/>
    <n v="81.510000000000005"/>
    <n v="1"/>
    <n v="4.0754999999999999"/>
    <n v="85.585499999999996"/>
    <d v="2019-01-22T00:00:00"/>
    <x v="315"/>
    <x v="0"/>
    <n v="81.510000000000005"/>
    <n v="4.7619047620000003"/>
    <n v="4.0754999999999999"/>
    <n v="9.1999999999999993"/>
    <n v="81.510000000000005"/>
    <x v="3"/>
    <n v="1"/>
    <x v="5"/>
  </r>
  <r>
    <s v="848-07-1692"/>
    <x v="2"/>
    <s v="Mandalay"/>
    <x v="1"/>
    <s v="Female"/>
    <x v="0"/>
    <n v="57.22"/>
    <n v="2"/>
    <n v="5.7220000000000004"/>
    <n v="120.16200000000001"/>
    <d v="2019-12-01T00:00:00"/>
    <x v="316"/>
    <x v="0"/>
    <n v="114.44"/>
    <n v="4.7619047620000003"/>
    <n v="5.7220000000000004"/>
    <n v="8.3000000000000007"/>
    <n v="114.44"/>
    <x v="8"/>
    <n v="12"/>
    <x v="2"/>
  </r>
  <r>
    <s v="745-71-3520"/>
    <x v="0"/>
    <s v="Yangon"/>
    <x v="0"/>
    <s v="Female"/>
    <x v="1"/>
    <n v="25.22"/>
    <n v="7"/>
    <n v="8.827"/>
    <n v="185.36699999999999"/>
    <d v="2019-04-02T00:00:00"/>
    <x v="81"/>
    <x v="1"/>
    <n v="176.54"/>
    <n v="4.7619047620000003"/>
    <n v="8.827"/>
    <n v="8.1999999999999993"/>
    <n v="176.54"/>
    <x v="11"/>
    <n v="4"/>
    <x v="5"/>
  </r>
  <r>
    <s v="266-76-6436"/>
    <x v="1"/>
    <s v="Naypyitaw"/>
    <x v="0"/>
    <s v="Female"/>
    <x v="4"/>
    <n v="38.6"/>
    <n v="3"/>
    <n v="5.79"/>
    <n v="121.59"/>
    <d v="2019-03-28T00:00:00"/>
    <x v="317"/>
    <x v="0"/>
    <n v="115.8"/>
    <n v="4.7619047620000003"/>
    <n v="5.79"/>
    <n v="7.5"/>
    <n v="115.80000000000001"/>
    <x v="2"/>
    <n v="3"/>
    <x v="6"/>
  </r>
  <r>
    <s v="740-22-2500"/>
    <x v="1"/>
    <s v="Naypyitaw"/>
    <x v="1"/>
    <s v="Female"/>
    <x v="1"/>
    <n v="84.05"/>
    <n v="3"/>
    <n v="12.6075"/>
    <n v="264.75749999999999"/>
    <d v="2019-01-23T00:00:00"/>
    <x v="236"/>
    <x v="1"/>
    <n v="252.15"/>
    <n v="4.7619047620000003"/>
    <n v="12.6075"/>
    <n v="9.8000000000000007"/>
    <n v="252.14999999999998"/>
    <x v="3"/>
    <n v="1"/>
    <x v="0"/>
  </r>
  <r>
    <s v="271-88-8734"/>
    <x v="1"/>
    <s v="Naypyitaw"/>
    <x v="0"/>
    <s v="Female"/>
    <x v="5"/>
    <n v="97.21"/>
    <n v="10"/>
    <n v="48.604999999999997"/>
    <n v="1020.705"/>
    <d v="2019-08-02T00:00:00"/>
    <x v="127"/>
    <x v="2"/>
    <n v="972.1"/>
    <n v="4.7619047620000003"/>
    <n v="48.604999999999997"/>
    <n v="8.6999999999999993"/>
    <n v="972.09999999999991"/>
    <x v="1"/>
    <n v="8"/>
    <x v="3"/>
  </r>
  <r>
    <s v="301-81-8610"/>
    <x v="2"/>
    <s v="Mandalay"/>
    <x v="0"/>
    <s v="Male"/>
    <x v="5"/>
    <n v="25.42"/>
    <n v="8"/>
    <n v="10.167999999999999"/>
    <n v="213.52799999999999"/>
    <d v="2019-03-19T00:00:00"/>
    <x v="144"/>
    <x v="2"/>
    <n v="203.36"/>
    <n v="4.7619047620000003"/>
    <n v="10.167999999999999"/>
    <n v="6.7"/>
    <n v="203.36"/>
    <x v="2"/>
    <n v="3"/>
    <x v="5"/>
  </r>
  <r>
    <s v="489-64-4354"/>
    <x v="1"/>
    <s v="Naypyitaw"/>
    <x v="1"/>
    <s v="Male"/>
    <x v="5"/>
    <n v="16.28"/>
    <n v="1"/>
    <n v="0.81399999999999995"/>
    <n v="17.094000000000001"/>
    <d v="2019-09-03T00:00:00"/>
    <x v="29"/>
    <x v="1"/>
    <n v="16.28"/>
    <n v="4.7619047620000003"/>
    <n v="0.81399999999999995"/>
    <n v="5"/>
    <n v="16.28"/>
    <x v="7"/>
    <n v="9"/>
    <x v="5"/>
  </r>
  <r>
    <s v="198-84-7132"/>
    <x v="2"/>
    <s v="Mandalay"/>
    <x v="0"/>
    <s v="Male"/>
    <x v="5"/>
    <n v="40.61"/>
    <n v="9"/>
    <n v="18.2745"/>
    <n v="383.7645"/>
    <d v="2019-02-01T00:00:00"/>
    <x v="61"/>
    <x v="1"/>
    <n v="365.49"/>
    <n v="4.7619047620000003"/>
    <n v="18.2745"/>
    <n v="7"/>
    <n v="365.49"/>
    <x v="4"/>
    <n v="2"/>
    <x v="3"/>
  </r>
  <r>
    <s v="269-10-8440"/>
    <x v="0"/>
    <s v="Yangon"/>
    <x v="0"/>
    <s v="Male"/>
    <x v="0"/>
    <n v="53.17"/>
    <n v="7"/>
    <n v="18.609500000000001"/>
    <n v="390.79950000000002"/>
    <d v="2019-01-21T00:00:00"/>
    <x v="240"/>
    <x v="1"/>
    <n v="372.19"/>
    <n v="4.7619047620000003"/>
    <n v="18.609500000000001"/>
    <n v="8.9"/>
    <n v="372.19"/>
    <x v="3"/>
    <n v="1"/>
    <x v="4"/>
  </r>
  <r>
    <s v="650-98-6268"/>
    <x v="2"/>
    <s v="Mandalay"/>
    <x v="0"/>
    <s v="Female"/>
    <x v="4"/>
    <n v="20.87"/>
    <n v="3"/>
    <n v="3.1305000000000001"/>
    <n v="65.740499999999997"/>
    <d v="2019-03-20T00:00:00"/>
    <x v="318"/>
    <x v="2"/>
    <n v="62.61"/>
    <n v="4.7619047620000003"/>
    <n v="3.1305000000000001"/>
    <n v="8"/>
    <n v="62.61"/>
    <x v="2"/>
    <n v="3"/>
    <x v="0"/>
  </r>
  <r>
    <s v="741-73-3559"/>
    <x v="2"/>
    <s v="Mandalay"/>
    <x v="1"/>
    <s v="Male"/>
    <x v="3"/>
    <n v="67.27"/>
    <n v="5"/>
    <n v="16.817499999999999"/>
    <n v="353.16750000000002"/>
    <d v="2019-02-27T00:00:00"/>
    <x v="272"/>
    <x v="1"/>
    <n v="336.35"/>
    <n v="4.7619047620000003"/>
    <n v="16.817499999999999"/>
    <n v="6.9"/>
    <n v="336.34999999999997"/>
    <x v="4"/>
    <n v="2"/>
    <x v="0"/>
  </r>
  <r>
    <s v="325-77-6186"/>
    <x v="0"/>
    <s v="Yangon"/>
    <x v="0"/>
    <s v="Female"/>
    <x v="2"/>
    <n v="90.65"/>
    <n v="10"/>
    <n v="45.325000000000003"/>
    <n v="951.82500000000005"/>
    <d v="2019-08-03T00:00:00"/>
    <x v="164"/>
    <x v="0"/>
    <n v="906.5"/>
    <n v="4.7619047620000003"/>
    <n v="45.325000000000003"/>
    <n v="7.3"/>
    <n v="906.5"/>
    <x v="1"/>
    <n v="8"/>
    <x v="1"/>
  </r>
  <r>
    <s v="286-75-7818"/>
    <x v="2"/>
    <s v="Mandalay"/>
    <x v="1"/>
    <s v="Male"/>
    <x v="5"/>
    <n v="69.08"/>
    <n v="2"/>
    <n v="6.9080000000000004"/>
    <n v="145.06800000000001"/>
    <d v="2019-01-31T00:00:00"/>
    <x v="28"/>
    <x v="2"/>
    <n v="138.16"/>
    <n v="4.7619047620000003"/>
    <n v="6.9080000000000004"/>
    <n v="6.9"/>
    <n v="138.16"/>
    <x v="3"/>
    <n v="1"/>
    <x v="6"/>
  </r>
  <r>
    <s v="574-57-9721"/>
    <x v="1"/>
    <s v="Naypyitaw"/>
    <x v="1"/>
    <s v="Male"/>
    <x v="4"/>
    <n v="43.27"/>
    <n v="2"/>
    <n v="4.327"/>
    <n v="90.867000000000004"/>
    <d v="2019-08-03T00:00:00"/>
    <x v="319"/>
    <x v="0"/>
    <n v="86.54"/>
    <n v="4.7619047620000003"/>
    <n v="4.327"/>
    <n v="5.7"/>
    <n v="86.54"/>
    <x v="1"/>
    <n v="8"/>
    <x v="1"/>
  </r>
  <r>
    <s v="459-50-7686"/>
    <x v="0"/>
    <s v="Yangon"/>
    <x v="1"/>
    <s v="Female"/>
    <x v="1"/>
    <n v="23.46"/>
    <n v="6"/>
    <n v="7.0380000000000003"/>
    <n v="147.798"/>
    <d v="2019-01-13T00:00:00"/>
    <x v="195"/>
    <x v="0"/>
    <n v="140.76"/>
    <n v="4.7619047620000003"/>
    <n v="7.0380000000000003"/>
    <n v="6.4"/>
    <n v="140.76"/>
    <x v="3"/>
    <n v="1"/>
    <x v="2"/>
  </r>
  <r>
    <s v="616-87-0016"/>
    <x v="2"/>
    <s v="Mandalay"/>
    <x v="1"/>
    <s v="Male"/>
    <x v="5"/>
    <n v="95.54"/>
    <n v="7"/>
    <n v="33.439"/>
    <n v="702.21900000000005"/>
    <d v="2019-09-03T00:00:00"/>
    <x v="6"/>
    <x v="2"/>
    <n v="668.78"/>
    <n v="4.7619047620000003"/>
    <n v="33.439"/>
    <n v="9.6"/>
    <n v="668.78000000000009"/>
    <x v="7"/>
    <n v="9"/>
    <x v="5"/>
  </r>
  <r>
    <s v="837-55-7229"/>
    <x v="2"/>
    <s v="Mandalay"/>
    <x v="1"/>
    <s v="Female"/>
    <x v="5"/>
    <n v="47.44"/>
    <n v="1"/>
    <n v="2.3719999999999999"/>
    <n v="49.811999999999998"/>
    <d v="2019-02-22T00:00:00"/>
    <x v="96"/>
    <x v="2"/>
    <n v="47.44"/>
    <n v="4.7619047620000003"/>
    <n v="2.3719999999999999"/>
    <n v="6.8"/>
    <n v="47.44"/>
    <x v="4"/>
    <n v="2"/>
    <x v="3"/>
  </r>
  <r>
    <s v="751-69-0068"/>
    <x v="1"/>
    <s v="Naypyitaw"/>
    <x v="1"/>
    <s v="Male"/>
    <x v="3"/>
    <n v="99.24"/>
    <n v="9"/>
    <n v="44.658000000000001"/>
    <n v="937.81799999999998"/>
    <d v="2019-03-19T00:00:00"/>
    <x v="268"/>
    <x v="0"/>
    <n v="893.16"/>
    <n v="4.7619047620000003"/>
    <n v="44.658000000000001"/>
    <n v="9"/>
    <n v="893.16"/>
    <x v="2"/>
    <n v="3"/>
    <x v="5"/>
  </r>
  <r>
    <s v="257-73-1380"/>
    <x v="1"/>
    <s v="Naypyitaw"/>
    <x v="0"/>
    <s v="Male"/>
    <x v="3"/>
    <n v="82.93"/>
    <n v="4"/>
    <n v="16.585999999999999"/>
    <n v="348.30599999999998"/>
    <d v="2019-01-20T00:00:00"/>
    <x v="320"/>
    <x v="0"/>
    <n v="331.72"/>
    <n v="4.7619047620000003"/>
    <n v="16.585999999999999"/>
    <n v="9.6"/>
    <n v="331.72"/>
    <x v="3"/>
    <n v="1"/>
    <x v="2"/>
  </r>
  <r>
    <s v="345-08-4992"/>
    <x v="0"/>
    <s v="Yangon"/>
    <x v="1"/>
    <s v="Male"/>
    <x v="2"/>
    <n v="33.99"/>
    <n v="6"/>
    <n v="10.196999999999999"/>
    <n v="214.137"/>
    <d v="2019-08-03T00:00:00"/>
    <x v="321"/>
    <x v="2"/>
    <n v="203.94"/>
    <n v="4.7619047620000003"/>
    <n v="10.196999999999999"/>
    <n v="7.7"/>
    <n v="203.94"/>
    <x v="1"/>
    <n v="8"/>
    <x v="1"/>
  </r>
  <r>
    <s v="549-96-4200"/>
    <x v="1"/>
    <s v="Naypyitaw"/>
    <x v="0"/>
    <s v="Male"/>
    <x v="4"/>
    <n v="17.04"/>
    <n v="4"/>
    <n v="3.4079999999999999"/>
    <n v="71.567999999999998"/>
    <d v="2019-08-03T00:00:00"/>
    <x v="322"/>
    <x v="0"/>
    <n v="68.16"/>
    <n v="4.7619047620000003"/>
    <n v="3.4079999999999999"/>
    <n v="7"/>
    <n v="68.16"/>
    <x v="1"/>
    <n v="8"/>
    <x v="1"/>
  </r>
  <r>
    <s v="810-60-6344"/>
    <x v="1"/>
    <s v="Naypyitaw"/>
    <x v="1"/>
    <s v="Female"/>
    <x v="1"/>
    <n v="40.86"/>
    <n v="8"/>
    <n v="16.344000000000001"/>
    <n v="343.22399999999999"/>
    <d v="2019-07-02T00:00:00"/>
    <x v="242"/>
    <x v="2"/>
    <n v="326.88"/>
    <n v="4.7619047620000003"/>
    <n v="16.344000000000001"/>
    <n v="6.5"/>
    <n v="326.88"/>
    <x v="9"/>
    <n v="7"/>
    <x v="5"/>
  </r>
  <r>
    <s v="450-28-2866"/>
    <x v="1"/>
    <s v="Naypyitaw"/>
    <x v="0"/>
    <s v="Male"/>
    <x v="4"/>
    <n v="17.440000000000001"/>
    <n v="5"/>
    <n v="4.3600000000000003"/>
    <n v="91.56"/>
    <d v="2019-01-15T00:00:00"/>
    <x v="126"/>
    <x v="1"/>
    <n v="87.2"/>
    <n v="4.7619047620000003"/>
    <n v="4.3600000000000003"/>
    <n v="8.1"/>
    <n v="87.2"/>
    <x v="3"/>
    <n v="1"/>
    <x v="5"/>
  </r>
  <r>
    <s v="394-30-3170"/>
    <x v="2"/>
    <s v="Mandalay"/>
    <x v="0"/>
    <s v="Female"/>
    <x v="3"/>
    <n v="88.43"/>
    <n v="8"/>
    <n v="35.372"/>
    <n v="742.81200000000001"/>
    <d v="2019-03-22T00:00:00"/>
    <x v="323"/>
    <x v="2"/>
    <n v="707.44"/>
    <n v="4.7619047620000003"/>
    <n v="35.372"/>
    <n v="4.3"/>
    <n v="707.44"/>
    <x v="2"/>
    <n v="3"/>
    <x v="3"/>
  </r>
  <r>
    <s v="138-17-5109"/>
    <x v="0"/>
    <s v="Yangon"/>
    <x v="0"/>
    <s v="Female"/>
    <x v="2"/>
    <n v="89.21"/>
    <n v="9"/>
    <n v="40.144500000000001"/>
    <n v="843.03449999999998"/>
    <d v="2019-01-15T00:00:00"/>
    <x v="324"/>
    <x v="2"/>
    <n v="802.89"/>
    <n v="4.7619047620000003"/>
    <n v="40.144500000000001"/>
    <n v="6.5"/>
    <n v="802.89"/>
    <x v="3"/>
    <n v="1"/>
    <x v="5"/>
  </r>
  <r>
    <s v="192-98-7397"/>
    <x v="1"/>
    <s v="Naypyitaw"/>
    <x v="1"/>
    <s v="Male"/>
    <x v="5"/>
    <n v="12.78"/>
    <n v="1"/>
    <n v="0.63900000000000001"/>
    <n v="13.419"/>
    <d v="2019-08-01T00:00:00"/>
    <x v="325"/>
    <x v="0"/>
    <n v="12.78"/>
    <n v="4.7619047620000003"/>
    <n v="0.63900000000000001"/>
    <n v="9.5"/>
    <n v="12.78"/>
    <x v="1"/>
    <n v="8"/>
    <x v="6"/>
  </r>
  <r>
    <s v="301-11-9629"/>
    <x v="0"/>
    <s v="Yangon"/>
    <x v="1"/>
    <s v="Female"/>
    <x v="3"/>
    <n v="19.100000000000001"/>
    <n v="7"/>
    <n v="6.6849999999999996"/>
    <n v="140.38499999999999"/>
    <d v="2019-01-15T00:00:00"/>
    <x v="100"/>
    <x v="1"/>
    <n v="133.69999999999999"/>
    <n v="4.7619047620000003"/>
    <n v="6.6849999999999996"/>
    <n v="9.6999999999999993"/>
    <n v="133.70000000000002"/>
    <x v="3"/>
    <n v="1"/>
    <x v="5"/>
  </r>
  <r>
    <s v="390-80-5128"/>
    <x v="2"/>
    <s v="Mandalay"/>
    <x v="0"/>
    <s v="Female"/>
    <x v="0"/>
    <n v="19.149999999999999"/>
    <n v="1"/>
    <n v="0.95750000000000002"/>
    <n v="20.107500000000002"/>
    <d v="2019-01-28T00:00:00"/>
    <x v="326"/>
    <x v="2"/>
    <n v="19.149999999999999"/>
    <n v="4.7619047620000003"/>
    <n v="0.95750000000000002"/>
    <n v="9.5"/>
    <n v="19.149999999999999"/>
    <x v="3"/>
    <n v="1"/>
    <x v="4"/>
  </r>
  <r>
    <s v="235-46-8343"/>
    <x v="1"/>
    <s v="Naypyitaw"/>
    <x v="0"/>
    <s v="Male"/>
    <x v="4"/>
    <n v="27.66"/>
    <n v="10"/>
    <n v="13.83"/>
    <n v="290.43"/>
    <d v="2019-02-14T00:00:00"/>
    <x v="55"/>
    <x v="2"/>
    <n v="276.60000000000002"/>
    <n v="4.7619047620000003"/>
    <n v="13.83"/>
    <n v="8.9"/>
    <n v="276.60000000000002"/>
    <x v="4"/>
    <n v="2"/>
    <x v="6"/>
  </r>
  <r>
    <s v="453-12-7053"/>
    <x v="1"/>
    <s v="Naypyitaw"/>
    <x v="1"/>
    <s v="Male"/>
    <x v="5"/>
    <n v="45.74"/>
    <n v="3"/>
    <n v="6.8609999999999998"/>
    <n v="144.08099999999999"/>
    <d v="2019-10-03T00:00:00"/>
    <x v="180"/>
    <x v="2"/>
    <n v="137.22"/>
    <n v="4.7619047620000003"/>
    <n v="6.8609999999999998"/>
    <n v="6.5"/>
    <n v="137.22"/>
    <x v="5"/>
    <n v="10"/>
    <x v="6"/>
  </r>
  <r>
    <s v="296-11-7041"/>
    <x v="2"/>
    <s v="Mandalay"/>
    <x v="0"/>
    <s v="Female"/>
    <x v="0"/>
    <n v="27.07"/>
    <n v="1"/>
    <n v="1.3534999999999999"/>
    <n v="28.423500000000001"/>
    <d v="2019-12-01T00:00:00"/>
    <x v="105"/>
    <x v="2"/>
    <n v="27.07"/>
    <n v="4.7619047620000003"/>
    <n v="1.3534999999999999"/>
    <n v="5.3"/>
    <n v="27.07"/>
    <x v="8"/>
    <n v="12"/>
    <x v="2"/>
  </r>
  <r>
    <s v="449-27-2918"/>
    <x v="2"/>
    <s v="Mandalay"/>
    <x v="0"/>
    <s v="Female"/>
    <x v="3"/>
    <n v="39.119999999999997"/>
    <n v="1"/>
    <n v="1.956"/>
    <n v="41.076000000000001"/>
    <d v="2019-03-26T00:00:00"/>
    <x v="327"/>
    <x v="2"/>
    <n v="39.119999999999997"/>
    <n v="4.7619047620000003"/>
    <n v="1.956"/>
    <n v="9.6"/>
    <n v="39.119999999999997"/>
    <x v="2"/>
    <n v="3"/>
    <x v="5"/>
  </r>
  <r>
    <s v="891-01-7034"/>
    <x v="2"/>
    <s v="Mandalay"/>
    <x v="1"/>
    <s v="Female"/>
    <x v="1"/>
    <n v="74.709999999999994"/>
    <n v="6"/>
    <n v="22.413"/>
    <n v="470.673"/>
    <d v="2019-01-01T00:00:00"/>
    <x v="312"/>
    <x v="1"/>
    <n v="448.26"/>
    <n v="4.7619047620000003"/>
    <n v="22.413"/>
    <n v="6.7"/>
    <n v="448.26"/>
    <x v="3"/>
    <n v="1"/>
    <x v="5"/>
  </r>
  <r>
    <s v="744-09-5786"/>
    <x v="2"/>
    <s v="Mandalay"/>
    <x v="1"/>
    <s v="Male"/>
    <x v="1"/>
    <n v="22.01"/>
    <n v="6"/>
    <n v="6.6029999999999998"/>
    <n v="138.66300000000001"/>
    <d v="2019-02-01T00:00:00"/>
    <x v="68"/>
    <x v="1"/>
    <n v="132.06"/>
    <n v="4.7619047620000003"/>
    <n v="6.6029999999999998"/>
    <n v="7.6"/>
    <n v="132.06"/>
    <x v="4"/>
    <n v="2"/>
    <x v="3"/>
  </r>
  <r>
    <s v="727-17-0390"/>
    <x v="0"/>
    <s v="Yangon"/>
    <x v="1"/>
    <s v="Female"/>
    <x v="4"/>
    <n v="63.61"/>
    <n v="5"/>
    <n v="15.9025"/>
    <n v="333.95249999999999"/>
    <d v="2019-03-16T00:00:00"/>
    <x v="31"/>
    <x v="0"/>
    <n v="318.05"/>
    <n v="4.7619047620000003"/>
    <n v="15.9025"/>
    <n v="4.8"/>
    <n v="318.05"/>
    <x v="2"/>
    <n v="3"/>
    <x v="1"/>
  </r>
  <r>
    <s v="568-88-3448"/>
    <x v="0"/>
    <s v="Yangon"/>
    <x v="1"/>
    <s v="Male"/>
    <x v="0"/>
    <n v="25"/>
    <n v="1"/>
    <n v="1.25"/>
    <n v="26.25"/>
    <d v="2019-03-03T00:00:00"/>
    <x v="328"/>
    <x v="0"/>
    <n v="25"/>
    <n v="4.7619047620000003"/>
    <n v="1.25"/>
    <n v="5.5"/>
    <n v="25"/>
    <x v="2"/>
    <n v="3"/>
    <x v="2"/>
  </r>
  <r>
    <s v="187-83-5490"/>
    <x v="0"/>
    <s v="Yangon"/>
    <x v="0"/>
    <s v="Male"/>
    <x v="1"/>
    <n v="20.77"/>
    <n v="4"/>
    <n v="4.1539999999999999"/>
    <n v="87.233999999999995"/>
    <d v="2019-01-31T00:00:00"/>
    <x v="329"/>
    <x v="1"/>
    <n v="83.08"/>
    <n v="4.7619047620000003"/>
    <n v="4.1539999999999999"/>
    <n v="4.7"/>
    <n v="83.08"/>
    <x v="3"/>
    <n v="1"/>
    <x v="6"/>
  </r>
  <r>
    <s v="767-54-1907"/>
    <x v="2"/>
    <s v="Mandalay"/>
    <x v="0"/>
    <s v="Female"/>
    <x v="5"/>
    <n v="29.56"/>
    <n v="5"/>
    <n v="7.39"/>
    <n v="155.19"/>
    <d v="2019-02-13T00:00:00"/>
    <x v="330"/>
    <x v="1"/>
    <n v="147.80000000000001"/>
    <n v="4.7619047620000003"/>
    <n v="7.39"/>
    <n v="6.9"/>
    <n v="147.79999999999998"/>
    <x v="4"/>
    <n v="2"/>
    <x v="0"/>
  </r>
  <r>
    <s v="710-46-4433"/>
    <x v="2"/>
    <s v="Mandalay"/>
    <x v="0"/>
    <s v="Female"/>
    <x v="4"/>
    <n v="77.400000000000006"/>
    <n v="9"/>
    <n v="34.83"/>
    <n v="731.43"/>
    <d v="2019-02-15T00:00:00"/>
    <x v="331"/>
    <x v="2"/>
    <n v="696.6"/>
    <n v="4.7619047620000003"/>
    <n v="34.83"/>
    <n v="4.5"/>
    <n v="696.6"/>
    <x v="4"/>
    <n v="2"/>
    <x v="3"/>
  </r>
  <r>
    <s v="533-33-5337"/>
    <x v="2"/>
    <s v="Mandalay"/>
    <x v="1"/>
    <s v="Male"/>
    <x v="1"/>
    <n v="79.39"/>
    <n v="10"/>
    <n v="39.695"/>
    <n v="833.59500000000003"/>
    <d v="2019-07-02T00:00:00"/>
    <x v="181"/>
    <x v="1"/>
    <n v="793.9"/>
    <n v="4.7619047620000003"/>
    <n v="39.695"/>
    <n v="6.2"/>
    <n v="793.9"/>
    <x v="9"/>
    <n v="7"/>
    <x v="5"/>
  </r>
  <r>
    <s v="325-90-8763"/>
    <x v="1"/>
    <s v="Naypyitaw"/>
    <x v="0"/>
    <s v="Female"/>
    <x v="1"/>
    <n v="46.57"/>
    <n v="10"/>
    <n v="23.285"/>
    <n v="488.98500000000001"/>
    <d v="2019-01-27T00:00:00"/>
    <x v="139"/>
    <x v="1"/>
    <n v="465.7"/>
    <n v="4.7619047620000003"/>
    <n v="23.285"/>
    <n v="7.6"/>
    <n v="465.7"/>
    <x v="3"/>
    <n v="1"/>
    <x v="2"/>
  </r>
  <r>
    <s v="729-46-7422"/>
    <x v="1"/>
    <s v="Naypyitaw"/>
    <x v="1"/>
    <s v="Male"/>
    <x v="4"/>
    <n v="35.89"/>
    <n v="1"/>
    <n v="1.7945"/>
    <n v="37.6845"/>
    <d v="2019-02-23T00:00:00"/>
    <x v="233"/>
    <x v="2"/>
    <n v="35.89"/>
    <n v="4.7619047620000003"/>
    <n v="1.7945"/>
    <n v="7.9"/>
    <n v="35.89"/>
    <x v="4"/>
    <n v="2"/>
    <x v="1"/>
  </r>
  <r>
    <s v="639-76-1242"/>
    <x v="1"/>
    <s v="Naypyitaw"/>
    <x v="1"/>
    <s v="Male"/>
    <x v="4"/>
    <n v="40.520000000000003"/>
    <n v="5"/>
    <n v="10.130000000000001"/>
    <n v="212.73"/>
    <d v="2019-03-02T00:00:00"/>
    <x v="332"/>
    <x v="1"/>
    <n v="202.6"/>
    <n v="4.7619047620000003"/>
    <n v="10.130000000000001"/>
    <n v="4.5"/>
    <n v="202.60000000000002"/>
    <x v="2"/>
    <n v="3"/>
    <x v="1"/>
  </r>
  <r>
    <s v="234-03-4040"/>
    <x v="2"/>
    <s v="Mandalay"/>
    <x v="0"/>
    <s v="Female"/>
    <x v="4"/>
    <n v="73.05"/>
    <n v="10"/>
    <n v="36.524999999999999"/>
    <n v="767.02499999999998"/>
    <d v="2019-03-03T00:00:00"/>
    <x v="298"/>
    <x v="2"/>
    <n v="730.5"/>
    <n v="4.7619047620000003"/>
    <n v="36.524999999999999"/>
    <n v="8.6999999999999993"/>
    <n v="730.5"/>
    <x v="2"/>
    <n v="3"/>
    <x v="2"/>
  </r>
  <r>
    <s v="326-71-2155"/>
    <x v="1"/>
    <s v="Naypyitaw"/>
    <x v="1"/>
    <s v="Female"/>
    <x v="3"/>
    <n v="73.95"/>
    <n v="4"/>
    <n v="14.79"/>
    <n v="310.58999999999997"/>
    <d v="2019-03-02T00:00:00"/>
    <x v="177"/>
    <x v="1"/>
    <n v="295.8"/>
    <n v="4.7619047620000003"/>
    <n v="14.79"/>
    <n v="6.1"/>
    <n v="295.8"/>
    <x v="2"/>
    <n v="3"/>
    <x v="1"/>
  </r>
  <r>
    <s v="320-32-8842"/>
    <x v="1"/>
    <s v="Naypyitaw"/>
    <x v="0"/>
    <s v="Female"/>
    <x v="4"/>
    <n v="22.62"/>
    <n v="1"/>
    <n v="1.131"/>
    <n v="23.751000000000001"/>
    <d v="2019-03-17T00:00:00"/>
    <x v="262"/>
    <x v="1"/>
    <n v="22.62"/>
    <n v="4.7619047620000003"/>
    <n v="1.131"/>
    <n v="6.4"/>
    <n v="22.62"/>
    <x v="2"/>
    <n v="3"/>
    <x v="2"/>
  </r>
  <r>
    <s v="470-32-9057"/>
    <x v="0"/>
    <s v="Yangon"/>
    <x v="0"/>
    <s v="Male"/>
    <x v="4"/>
    <n v="51.34"/>
    <n v="5"/>
    <n v="12.835000000000001"/>
    <n v="269.53500000000003"/>
    <d v="2019-03-28T00:00:00"/>
    <x v="26"/>
    <x v="2"/>
    <n v="256.7"/>
    <n v="4.7619047620000003"/>
    <n v="12.835000000000001"/>
    <n v="9.1"/>
    <n v="256.70000000000005"/>
    <x v="2"/>
    <n v="3"/>
    <x v="6"/>
  </r>
  <r>
    <s v="878-30-2331"/>
    <x v="1"/>
    <s v="Naypyitaw"/>
    <x v="0"/>
    <s v="Female"/>
    <x v="3"/>
    <n v="54.55"/>
    <n v="10"/>
    <n v="27.274999999999999"/>
    <n v="572.77499999999998"/>
    <d v="2019-02-03T00:00:00"/>
    <x v="218"/>
    <x v="2"/>
    <n v="545.5"/>
    <n v="4.7619047620000003"/>
    <n v="27.274999999999999"/>
    <n v="7.1"/>
    <n v="545.5"/>
    <x v="4"/>
    <n v="2"/>
    <x v="2"/>
  </r>
  <r>
    <s v="440-59-5691"/>
    <x v="1"/>
    <s v="Naypyitaw"/>
    <x v="0"/>
    <s v="Female"/>
    <x v="0"/>
    <n v="37.15"/>
    <n v="7"/>
    <n v="13.0025"/>
    <n v="273.05250000000001"/>
    <d v="2019-08-02T00:00:00"/>
    <x v="258"/>
    <x v="2"/>
    <n v="260.05"/>
    <n v="4.7619047620000003"/>
    <n v="13.0025"/>
    <n v="7.7"/>
    <n v="260.05"/>
    <x v="1"/>
    <n v="8"/>
    <x v="3"/>
  </r>
  <r>
    <s v="554-53-3790"/>
    <x v="2"/>
    <s v="Mandalay"/>
    <x v="1"/>
    <s v="Male"/>
    <x v="3"/>
    <n v="37.020000000000003"/>
    <n v="6"/>
    <n v="11.106"/>
    <n v="233.226"/>
    <d v="2019-03-22T00:00:00"/>
    <x v="333"/>
    <x v="1"/>
    <n v="222.12"/>
    <n v="4.7619047620000003"/>
    <n v="11.106"/>
    <n v="4.5"/>
    <n v="222.12"/>
    <x v="2"/>
    <n v="3"/>
    <x v="3"/>
  </r>
  <r>
    <s v="746-19-0921"/>
    <x v="1"/>
    <s v="Naypyitaw"/>
    <x v="1"/>
    <s v="Male"/>
    <x v="4"/>
    <n v="21.58"/>
    <n v="1"/>
    <n v="1.079"/>
    <n v="22.658999999999999"/>
    <d v="2019-09-02T00:00:00"/>
    <x v="177"/>
    <x v="0"/>
    <n v="21.58"/>
    <n v="4.7619047620000003"/>
    <n v="1.079"/>
    <n v="7.2"/>
    <n v="21.58"/>
    <x v="7"/>
    <n v="9"/>
    <x v="4"/>
  </r>
  <r>
    <s v="233-34-0817"/>
    <x v="1"/>
    <s v="Naypyitaw"/>
    <x v="0"/>
    <s v="Female"/>
    <x v="1"/>
    <n v="98.84"/>
    <n v="1"/>
    <n v="4.9420000000000002"/>
    <n v="103.782"/>
    <d v="2019-02-15T00:00:00"/>
    <x v="274"/>
    <x v="1"/>
    <n v="98.84"/>
    <n v="4.7619047620000003"/>
    <n v="4.9420000000000002"/>
    <n v="8.4"/>
    <n v="98.84"/>
    <x v="4"/>
    <n v="2"/>
    <x v="3"/>
  </r>
  <r>
    <s v="767-05-1286"/>
    <x v="1"/>
    <s v="Naypyitaw"/>
    <x v="0"/>
    <s v="Female"/>
    <x v="2"/>
    <n v="83.77"/>
    <n v="6"/>
    <n v="25.131"/>
    <n v="527.75099999999998"/>
    <d v="2019-01-23T00:00:00"/>
    <x v="334"/>
    <x v="0"/>
    <n v="502.62"/>
    <n v="4.7619047620000003"/>
    <n v="25.131"/>
    <n v="5.4"/>
    <n v="502.62"/>
    <x v="3"/>
    <n v="1"/>
    <x v="0"/>
  </r>
  <r>
    <s v="340-21-9136"/>
    <x v="0"/>
    <s v="Yangon"/>
    <x v="0"/>
    <s v="Female"/>
    <x v="3"/>
    <n v="40.049999999999997"/>
    <n v="4"/>
    <n v="8.01"/>
    <n v="168.21"/>
    <d v="2019-01-25T00:00:00"/>
    <x v="335"/>
    <x v="1"/>
    <n v="160.19999999999999"/>
    <n v="4.7619047620000003"/>
    <n v="8.01"/>
    <n v="9.6999999999999993"/>
    <n v="160.19999999999999"/>
    <x v="3"/>
    <n v="1"/>
    <x v="3"/>
  </r>
  <r>
    <s v="405-31-3305"/>
    <x v="0"/>
    <s v="Yangon"/>
    <x v="0"/>
    <s v="Male"/>
    <x v="5"/>
    <n v="43.13"/>
    <n v="10"/>
    <n v="21.565000000000001"/>
    <n v="452.86500000000001"/>
    <d v="2019-02-02T00:00:00"/>
    <x v="201"/>
    <x v="2"/>
    <n v="431.3"/>
    <n v="4.7619047620000003"/>
    <n v="21.565000000000001"/>
    <n v="5.5"/>
    <n v="431.3"/>
    <x v="4"/>
    <n v="2"/>
    <x v="1"/>
  </r>
  <r>
    <s v="731-59-7531"/>
    <x v="2"/>
    <s v="Mandalay"/>
    <x v="0"/>
    <s v="Male"/>
    <x v="0"/>
    <n v="72.569999999999993"/>
    <n v="8"/>
    <n v="29.027999999999999"/>
    <n v="609.58799999999997"/>
    <d v="2019-03-30T00:00:00"/>
    <x v="326"/>
    <x v="1"/>
    <n v="580.55999999999995"/>
    <n v="4.7619047620000003"/>
    <n v="29.027999999999999"/>
    <n v="4.5999999999999996"/>
    <n v="580.55999999999995"/>
    <x v="2"/>
    <n v="3"/>
    <x v="1"/>
  </r>
  <r>
    <s v="676-39-6028"/>
    <x v="0"/>
    <s v="Yangon"/>
    <x v="0"/>
    <s v="Female"/>
    <x v="1"/>
    <n v="64.44"/>
    <n v="5"/>
    <n v="16.11"/>
    <n v="338.31"/>
    <d v="2019-03-30T00:00:00"/>
    <x v="72"/>
    <x v="1"/>
    <n v="322.2"/>
    <n v="4.7619047620000003"/>
    <n v="16.11"/>
    <n v="6.6"/>
    <n v="322.2"/>
    <x v="2"/>
    <n v="3"/>
    <x v="1"/>
  </r>
  <r>
    <s v="502-05-1910"/>
    <x v="0"/>
    <s v="Yangon"/>
    <x v="1"/>
    <s v="Male"/>
    <x v="0"/>
    <n v="65.180000000000007"/>
    <n v="3"/>
    <n v="9.7769999999999992"/>
    <n v="205.31700000000001"/>
    <d v="2019-02-25T00:00:00"/>
    <x v="82"/>
    <x v="2"/>
    <n v="195.54"/>
    <n v="4.7619047620000003"/>
    <n v="9.7769999999999992"/>
    <n v="6.3"/>
    <n v="195.54000000000002"/>
    <x v="4"/>
    <n v="2"/>
    <x v="4"/>
  </r>
  <r>
    <s v="485-30-8700"/>
    <x v="0"/>
    <s v="Yangon"/>
    <x v="1"/>
    <s v="Female"/>
    <x v="3"/>
    <n v="33.26"/>
    <n v="5"/>
    <n v="8.3149999999999995"/>
    <n v="174.61500000000001"/>
    <d v="2019-03-18T00:00:00"/>
    <x v="279"/>
    <x v="2"/>
    <n v="166.3"/>
    <n v="4.7619047620000003"/>
    <n v="8.3149999999999995"/>
    <n v="4.2"/>
    <n v="166.29999999999998"/>
    <x v="2"/>
    <n v="3"/>
    <x v="4"/>
  </r>
  <r>
    <s v="598-47-9715"/>
    <x v="1"/>
    <s v="Naypyitaw"/>
    <x v="1"/>
    <s v="Male"/>
    <x v="1"/>
    <n v="84.07"/>
    <n v="4"/>
    <n v="16.814"/>
    <n v="353.09399999999999"/>
    <d v="2019-07-03T00:00:00"/>
    <x v="336"/>
    <x v="0"/>
    <n v="336.28"/>
    <n v="4.7619047620000003"/>
    <n v="16.814"/>
    <n v="4.4000000000000004"/>
    <n v="336.28"/>
    <x v="9"/>
    <n v="7"/>
    <x v="0"/>
  </r>
  <r>
    <s v="701-69-8742"/>
    <x v="2"/>
    <s v="Mandalay"/>
    <x v="1"/>
    <s v="Male"/>
    <x v="3"/>
    <n v="34.369999999999997"/>
    <n v="10"/>
    <n v="17.184999999999999"/>
    <n v="360.88499999999999"/>
    <d v="2019-03-16T00:00:00"/>
    <x v="41"/>
    <x v="0"/>
    <n v="343.7"/>
    <n v="4.7619047620000003"/>
    <n v="17.184999999999999"/>
    <n v="6.7"/>
    <n v="343.7"/>
    <x v="2"/>
    <n v="3"/>
    <x v="1"/>
  </r>
  <r>
    <s v="575-67-1508"/>
    <x v="0"/>
    <s v="Yangon"/>
    <x v="1"/>
    <s v="Male"/>
    <x v="1"/>
    <n v="38.6"/>
    <n v="1"/>
    <n v="1.93"/>
    <n v="40.53"/>
    <d v="2019-01-29T00:00:00"/>
    <x v="55"/>
    <x v="0"/>
    <n v="38.6"/>
    <n v="4.7619047620000003"/>
    <n v="1.93"/>
    <n v="6.7"/>
    <n v="38.6"/>
    <x v="3"/>
    <n v="1"/>
    <x v="5"/>
  </r>
  <r>
    <s v="541-08-3113"/>
    <x v="1"/>
    <s v="Naypyitaw"/>
    <x v="1"/>
    <s v="Male"/>
    <x v="4"/>
    <n v="65.97"/>
    <n v="8"/>
    <n v="26.388000000000002"/>
    <n v="554.14800000000002"/>
    <d v="2019-02-02T00:00:00"/>
    <x v="245"/>
    <x v="1"/>
    <n v="527.76"/>
    <n v="4.7619047620000003"/>
    <n v="26.388000000000002"/>
    <n v="8.4"/>
    <n v="527.76"/>
    <x v="4"/>
    <n v="2"/>
    <x v="1"/>
  </r>
  <r>
    <s v="246-11-3901"/>
    <x v="1"/>
    <s v="Naypyitaw"/>
    <x v="1"/>
    <s v="Female"/>
    <x v="1"/>
    <n v="32.799999999999997"/>
    <n v="10"/>
    <n v="16.399999999999999"/>
    <n v="344.4"/>
    <d v="2019-02-15T00:00:00"/>
    <x v="294"/>
    <x v="1"/>
    <n v="328"/>
    <n v="4.7619047620000003"/>
    <n v="16.399999999999999"/>
    <n v="6.2"/>
    <n v="328"/>
    <x v="4"/>
    <n v="2"/>
    <x v="3"/>
  </r>
  <r>
    <s v="674-15-9296"/>
    <x v="0"/>
    <s v="Yangon"/>
    <x v="1"/>
    <s v="Male"/>
    <x v="3"/>
    <n v="37.14"/>
    <n v="5"/>
    <n v="9.2850000000000001"/>
    <n v="194.98500000000001"/>
    <d v="2019-08-01T00:00:00"/>
    <x v="137"/>
    <x v="0"/>
    <n v="185.7"/>
    <n v="4.7619047620000003"/>
    <n v="9.2850000000000001"/>
    <n v="5"/>
    <n v="185.7"/>
    <x v="1"/>
    <n v="8"/>
    <x v="6"/>
  </r>
  <r>
    <s v="305-18-3552"/>
    <x v="2"/>
    <s v="Mandalay"/>
    <x v="0"/>
    <s v="Male"/>
    <x v="2"/>
    <n v="60.38"/>
    <n v="10"/>
    <n v="30.19"/>
    <n v="633.99"/>
    <d v="2019-12-02T00:00:00"/>
    <x v="15"/>
    <x v="1"/>
    <n v="603.79999999999995"/>
    <n v="4.7619047620000003"/>
    <n v="30.19"/>
    <n v="6"/>
    <n v="603.80000000000007"/>
    <x v="8"/>
    <n v="12"/>
    <x v="4"/>
  </r>
  <r>
    <s v="493-65-6248"/>
    <x v="1"/>
    <s v="Naypyitaw"/>
    <x v="0"/>
    <s v="Female"/>
    <x v="3"/>
    <n v="36.979999999999997"/>
    <n v="10"/>
    <n v="18.489999999999998"/>
    <n v="388.29"/>
    <d v="2019-01-01T00:00:00"/>
    <x v="28"/>
    <x v="2"/>
    <n v="369.8"/>
    <n v="4.7619047620000003"/>
    <n v="18.489999999999998"/>
    <n v="7"/>
    <n v="369.79999999999995"/>
    <x v="3"/>
    <n v="1"/>
    <x v="5"/>
  </r>
  <r>
    <s v="438-01-4015"/>
    <x v="2"/>
    <s v="Mandalay"/>
    <x v="0"/>
    <s v="Female"/>
    <x v="3"/>
    <n v="49.49"/>
    <n v="4"/>
    <n v="9.8979999999999997"/>
    <n v="207.858"/>
    <d v="2019-03-21T00:00:00"/>
    <x v="337"/>
    <x v="0"/>
    <n v="197.96"/>
    <n v="4.7619047620000003"/>
    <n v="9.8979999999999997"/>
    <n v="6.6"/>
    <n v="197.96"/>
    <x v="2"/>
    <n v="3"/>
    <x v="6"/>
  </r>
  <r>
    <s v="709-58-4068"/>
    <x v="2"/>
    <s v="Mandalay"/>
    <x v="1"/>
    <s v="Female"/>
    <x v="5"/>
    <n v="41.09"/>
    <n v="10"/>
    <n v="20.545000000000002"/>
    <n v="431.44499999999999"/>
    <d v="2019-02-28T00:00:00"/>
    <x v="51"/>
    <x v="1"/>
    <n v="410.9"/>
    <n v="4.7619047620000003"/>
    <n v="20.545000000000002"/>
    <n v="7.3"/>
    <n v="410.90000000000003"/>
    <x v="4"/>
    <n v="2"/>
    <x v="6"/>
  </r>
  <r>
    <s v="795-49-7276"/>
    <x v="0"/>
    <s v="Yangon"/>
    <x v="1"/>
    <s v="Male"/>
    <x v="5"/>
    <n v="37.15"/>
    <n v="4"/>
    <n v="7.43"/>
    <n v="156.03"/>
    <d v="2019-03-23T00:00:00"/>
    <x v="188"/>
    <x v="0"/>
    <n v="148.6"/>
    <n v="4.7619047620000003"/>
    <n v="7.43"/>
    <n v="8.3000000000000007"/>
    <n v="148.6"/>
    <x v="2"/>
    <n v="3"/>
    <x v="1"/>
  </r>
  <r>
    <s v="556-72-8512"/>
    <x v="1"/>
    <s v="Naypyitaw"/>
    <x v="1"/>
    <s v="Male"/>
    <x v="2"/>
    <n v="22.96"/>
    <n v="1"/>
    <n v="1.1479999999999999"/>
    <n v="24.108000000000001"/>
    <d v="2019-01-30T00:00:00"/>
    <x v="338"/>
    <x v="1"/>
    <n v="22.96"/>
    <n v="4.7619047620000003"/>
    <n v="1.1479999999999999"/>
    <n v="4.3"/>
    <n v="22.96"/>
    <x v="3"/>
    <n v="1"/>
    <x v="0"/>
  </r>
  <r>
    <s v="627-95-3243"/>
    <x v="2"/>
    <s v="Mandalay"/>
    <x v="0"/>
    <s v="Female"/>
    <x v="2"/>
    <n v="77.680000000000007"/>
    <n v="9"/>
    <n v="34.956000000000003"/>
    <n v="734.07600000000002"/>
    <d v="2019-04-02T00:00:00"/>
    <x v="265"/>
    <x v="0"/>
    <n v="699.12"/>
    <n v="4.7619047620000003"/>
    <n v="34.956000000000003"/>
    <n v="9.8000000000000007"/>
    <n v="699.12000000000012"/>
    <x v="11"/>
    <n v="4"/>
    <x v="5"/>
  </r>
  <r>
    <s v="686-41-0932"/>
    <x v="2"/>
    <s v="Mandalay"/>
    <x v="1"/>
    <s v="Female"/>
    <x v="5"/>
    <n v="34.700000000000003"/>
    <n v="2"/>
    <n v="3.47"/>
    <n v="72.87"/>
    <d v="2019-03-13T00:00:00"/>
    <x v="28"/>
    <x v="0"/>
    <n v="69.400000000000006"/>
    <n v="4.7619047620000003"/>
    <n v="3.47"/>
    <n v="8.1999999999999993"/>
    <n v="69.400000000000006"/>
    <x v="2"/>
    <n v="3"/>
    <x v="0"/>
  </r>
  <r>
    <s v="510-09-5628"/>
    <x v="0"/>
    <s v="Yangon"/>
    <x v="0"/>
    <s v="Female"/>
    <x v="5"/>
    <n v="19.66"/>
    <n v="10"/>
    <n v="9.83"/>
    <n v="206.43"/>
    <d v="2019-03-15T00:00:00"/>
    <x v="339"/>
    <x v="2"/>
    <n v="196.6"/>
    <n v="4.7619047620000003"/>
    <n v="9.83"/>
    <n v="7.2"/>
    <n v="196.6"/>
    <x v="2"/>
    <n v="3"/>
    <x v="3"/>
  </r>
  <r>
    <s v="608-04-3797"/>
    <x v="2"/>
    <s v="Mandalay"/>
    <x v="0"/>
    <s v="Female"/>
    <x v="0"/>
    <n v="25.32"/>
    <n v="8"/>
    <n v="10.128"/>
    <n v="212.68799999999999"/>
    <d v="2019-05-03T00:00:00"/>
    <x v="181"/>
    <x v="0"/>
    <n v="202.56"/>
    <n v="4.7619047620000003"/>
    <n v="10.128"/>
    <n v="8.6999999999999993"/>
    <n v="202.56"/>
    <x v="0"/>
    <n v="5"/>
    <x v="3"/>
  </r>
  <r>
    <s v="148-82-2527"/>
    <x v="1"/>
    <s v="Naypyitaw"/>
    <x v="0"/>
    <s v="Female"/>
    <x v="2"/>
    <n v="12.12"/>
    <n v="10"/>
    <n v="6.06"/>
    <n v="127.26"/>
    <d v="2019-05-03T00:00:00"/>
    <x v="189"/>
    <x v="2"/>
    <n v="121.2"/>
    <n v="4.7619047620000003"/>
    <n v="6.06"/>
    <n v="8.4"/>
    <n v="121.19999999999999"/>
    <x v="0"/>
    <n v="5"/>
    <x v="3"/>
  </r>
  <r>
    <s v="437-53-3084"/>
    <x v="2"/>
    <s v="Mandalay"/>
    <x v="1"/>
    <s v="Male"/>
    <x v="5"/>
    <n v="99.89"/>
    <n v="2"/>
    <n v="9.9890000000000008"/>
    <n v="209.76900000000001"/>
    <d v="2019-02-26T00:00:00"/>
    <x v="340"/>
    <x v="0"/>
    <n v="199.78"/>
    <n v="4.7619047620000003"/>
    <n v="9.9890000000000008"/>
    <n v="7.1"/>
    <n v="199.78"/>
    <x v="4"/>
    <n v="2"/>
    <x v="5"/>
  </r>
  <r>
    <s v="632-32-4574"/>
    <x v="2"/>
    <s v="Mandalay"/>
    <x v="1"/>
    <s v="Male"/>
    <x v="3"/>
    <n v="75.92"/>
    <n v="8"/>
    <n v="30.367999999999999"/>
    <n v="637.72799999999995"/>
    <d v="2019-03-20T00:00:00"/>
    <x v="341"/>
    <x v="1"/>
    <n v="607.36"/>
    <n v="4.7619047620000003"/>
    <n v="30.367999999999999"/>
    <n v="5.5"/>
    <n v="607.36"/>
    <x v="2"/>
    <n v="3"/>
    <x v="0"/>
  </r>
  <r>
    <s v="556-97-7101"/>
    <x v="1"/>
    <s v="Naypyitaw"/>
    <x v="1"/>
    <s v="Female"/>
    <x v="1"/>
    <n v="63.22"/>
    <n v="2"/>
    <n v="6.3220000000000001"/>
    <n v="132.762"/>
    <d v="2019-01-01T00:00:00"/>
    <x v="232"/>
    <x v="1"/>
    <n v="126.44"/>
    <n v="4.7619047620000003"/>
    <n v="6.3220000000000001"/>
    <n v="8.5"/>
    <n v="126.44"/>
    <x v="3"/>
    <n v="1"/>
    <x v="5"/>
  </r>
  <r>
    <s v="862-59-8517"/>
    <x v="1"/>
    <s v="Naypyitaw"/>
    <x v="1"/>
    <s v="Female"/>
    <x v="4"/>
    <n v="90.24"/>
    <n v="6"/>
    <n v="27.071999999999999"/>
    <n v="568.51199999999994"/>
    <d v="2019-01-27T00:00:00"/>
    <x v="342"/>
    <x v="1"/>
    <n v="541.44000000000005"/>
    <n v="4.7619047620000003"/>
    <n v="27.071999999999999"/>
    <n v="6.2"/>
    <n v="541.43999999999994"/>
    <x v="3"/>
    <n v="1"/>
    <x v="2"/>
  </r>
  <r>
    <s v="401-18-8016"/>
    <x v="2"/>
    <s v="Mandalay"/>
    <x v="0"/>
    <s v="Female"/>
    <x v="3"/>
    <n v="98.13"/>
    <n v="1"/>
    <n v="4.9065000000000003"/>
    <n v="103.0365"/>
    <d v="2019-01-21T00:00:00"/>
    <x v="24"/>
    <x v="1"/>
    <n v="98.13"/>
    <n v="4.7619047620000003"/>
    <n v="4.9065000000000003"/>
    <n v="8.9"/>
    <n v="98.13"/>
    <x v="3"/>
    <n v="1"/>
    <x v="4"/>
  </r>
  <r>
    <s v="420-18-8989"/>
    <x v="0"/>
    <s v="Yangon"/>
    <x v="0"/>
    <s v="Female"/>
    <x v="3"/>
    <n v="51.52"/>
    <n v="8"/>
    <n v="20.608000000000001"/>
    <n v="432.76799999999997"/>
    <d v="2019-02-02T00:00:00"/>
    <x v="46"/>
    <x v="1"/>
    <n v="412.16"/>
    <n v="4.7619047620000003"/>
    <n v="20.608000000000001"/>
    <n v="9.6"/>
    <n v="412.16"/>
    <x v="4"/>
    <n v="2"/>
    <x v="1"/>
  </r>
  <r>
    <s v="277-63-2961"/>
    <x v="2"/>
    <s v="Mandalay"/>
    <x v="0"/>
    <s v="Male"/>
    <x v="3"/>
    <n v="73.97"/>
    <n v="1"/>
    <n v="3.6985000000000001"/>
    <n v="77.668499999999995"/>
    <d v="2019-03-02T00:00:00"/>
    <x v="183"/>
    <x v="2"/>
    <n v="73.97"/>
    <n v="4.7619047620000003"/>
    <n v="3.6985000000000001"/>
    <n v="5.4"/>
    <n v="73.97"/>
    <x v="2"/>
    <n v="3"/>
    <x v="1"/>
  </r>
  <r>
    <s v="573-98-8548"/>
    <x v="1"/>
    <s v="Naypyitaw"/>
    <x v="0"/>
    <s v="Female"/>
    <x v="5"/>
    <n v="31.9"/>
    <n v="1"/>
    <n v="1.595"/>
    <n v="33.494999999999997"/>
    <d v="2019-05-01T00:00:00"/>
    <x v="343"/>
    <x v="0"/>
    <n v="31.9"/>
    <n v="4.7619047620000003"/>
    <n v="1.595"/>
    <n v="9.1"/>
    <n v="31.9"/>
    <x v="0"/>
    <n v="5"/>
    <x v="0"/>
  </r>
  <r>
    <s v="620-02-2046"/>
    <x v="1"/>
    <s v="Naypyitaw"/>
    <x v="1"/>
    <s v="Male"/>
    <x v="2"/>
    <n v="69.400000000000006"/>
    <n v="2"/>
    <n v="6.94"/>
    <n v="145.74"/>
    <d v="2019-01-27T00:00:00"/>
    <x v="28"/>
    <x v="0"/>
    <n v="138.80000000000001"/>
    <n v="4.7619047620000003"/>
    <n v="6.94"/>
    <n v="9"/>
    <n v="138.80000000000001"/>
    <x v="3"/>
    <n v="1"/>
    <x v="2"/>
  </r>
  <r>
    <s v="282-35-2475"/>
    <x v="2"/>
    <s v="Mandalay"/>
    <x v="1"/>
    <s v="Female"/>
    <x v="3"/>
    <n v="93.31"/>
    <n v="2"/>
    <n v="9.3309999999999995"/>
    <n v="195.95099999999999"/>
    <d v="2019-03-25T00:00:00"/>
    <x v="344"/>
    <x v="1"/>
    <n v="186.62"/>
    <n v="4.7619047620000003"/>
    <n v="9.3309999999999995"/>
    <n v="6.3"/>
    <n v="186.62"/>
    <x v="2"/>
    <n v="3"/>
    <x v="4"/>
  </r>
  <r>
    <s v="511-54-3087"/>
    <x v="2"/>
    <s v="Mandalay"/>
    <x v="1"/>
    <s v="Male"/>
    <x v="3"/>
    <n v="88.45"/>
    <n v="1"/>
    <n v="4.4225000000000003"/>
    <n v="92.872500000000002"/>
    <d v="2019-02-25T00:00:00"/>
    <x v="345"/>
    <x v="2"/>
    <n v="88.45"/>
    <n v="4.7619047620000003"/>
    <n v="4.4225000000000003"/>
    <n v="9.5"/>
    <n v="88.45"/>
    <x v="4"/>
    <n v="2"/>
    <x v="4"/>
  </r>
  <r>
    <s v="726-29-6793"/>
    <x v="0"/>
    <s v="Yangon"/>
    <x v="0"/>
    <s v="Male"/>
    <x v="1"/>
    <n v="24.18"/>
    <n v="8"/>
    <n v="9.6720000000000006"/>
    <n v="203.11199999999999"/>
    <d v="2019-01-28T00:00:00"/>
    <x v="98"/>
    <x v="0"/>
    <n v="193.44"/>
    <n v="4.7619047620000003"/>
    <n v="9.6720000000000006"/>
    <n v="9.8000000000000007"/>
    <n v="193.44"/>
    <x v="3"/>
    <n v="1"/>
    <x v="4"/>
  </r>
  <r>
    <s v="387-49-4215"/>
    <x v="2"/>
    <s v="Mandalay"/>
    <x v="0"/>
    <s v="Female"/>
    <x v="3"/>
    <n v="48.5"/>
    <n v="3"/>
    <n v="7.2750000000000004"/>
    <n v="152.77500000000001"/>
    <d v="2019-08-01T00:00:00"/>
    <x v="165"/>
    <x v="1"/>
    <n v="145.5"/>
    <n v="4.7619047620000003"/>
    <n v="7.2750000000000004"/>
    <n v="6.7"/>
    <n v="145.5"/>
    <x v="1"/>
    <n v="8"/>
    <x v="6"/>
  </r>
  <r>
    <s v="862-17-9201"/>
    <x v="2"/>
    <s v="Mandalay"/>
    <x v="1"/>
    <s v="Female"/>
    <x v="4"/>
    <n v="84.05"/>
    <n v="6"/>
    <n v="25.215"/>
    <n v="529.51499999999999"/>
    <d v="2019-01-29T00:00:00"/>
    <x v="346"/>
    <x v="2"/>
    <n v="504.3"/>
    <n v="4.7619047620000003"/>
    <n v="25.215"/>
    <n v="7.7"/>
    <n v="504.29999999999995"/>
    <x v="3"/>
    <n v="1"/>
    <x v="5"/>
  </r>
  <r>
    <s v="291-21-5991"/>
    <x v="2"/>
    <s v="Mandalay"/>
    <x v="0"/>
    <s v="Male"/>
    <x v="0"/>
    <n v="61.29"/>
    <n v="5"/>
    <n v="15.3225"/>
    <n v="321.77249999999998"/>
    <d v="2019-03-29T00:00:00"/>
    <x v="296"/>
    <x v="1"/>
    <n v="306.45"/>
    <n v="4.7619047620000003"/>
    <n v="15.3225"/>
    <n v="7"/>
    <n v="306.45"/>
    <x v="2"/>
    <n v="3"/>
    <x v="3"/>
  </r>
  <r>
    <s v="602-80-9671"/>
    <x v="1"/>
    <s v="Naypyitaw"/>
    <x v="0"/>
    <s v="Female"/>
    <x v="2"/>
    <n v="15.95"/>
    <n v="6"/>
    <n v="4.7850000000000001"/>
    <n v="100.485"/>
    <d v="2019-09-02T00:00:00"/>
    <x v="8"/>
    <x v="2"/>
    <n v="95.7"/>
    <n v="4.7619047620000003"/>
    <n v="4.7850000000000001"/>
    <n v="5.0999999999999996"/>
    <n v="95.699999999999989"/>
    <x v="7"/>
    <n v="9"/>
    <x v="4"/>
  </r>
  <r>
    <s v="347-72-6115"/>
    <x v="2"/>
    <s v="Mandalay"/>
    <x v="0"/>
    <s v="Female"/>
    <x v="3"/>
    <n v="90.74"/>
    <n v="7"/>
    <n v="31.759"/>
    <n v="666.93899999999996"/>
    <d v="2019-01-16T00:00:00"/>
    <x v="172"/>
    <x v="2"/>
    <n v="635.17999999999995"/>
    <n v="4.7619047620000003"/>
    <n v="31.759"/>
    <n v="6.2"/>
    <n v="635.17999999999995"/>
    <x v="3"/>
    <n v="1"/>
    <x v="0"/>
  </r>
  <r>
    <s v="209-61-0206"/>
    <x v="0"/>
    <s v="Yangon"/>
    <x v="1"/>
    <s v="Female"/>
    <x v="2"/>
    <n v="42.91"/>
    <n v="5"/>
    <n v="10.727499999999999"/>
    <n v="225.2775"/>
    <d v="2019-05-01T00:00:00"/>
    <x v="260"/>
    <x v="0"/>
    <n v="214.55"/>
    <n v="4.7619047620000003"/>
    <n v="10.727499999999999"/>
    <n v="6.1"/>
    <n v="214.54999999999998"/>
    <x v="0"/>
    <n v="5"/>
    <x v="0"/>
  </r>
  <r>
    <s v="595-27-4851"/>
    <x v="0"/>
    <s v="Yangon"/>
    <x v="1"/>
    <s v="Female"/>
    <x v="5"/>
    <n v="54.28"/>
    <n v="7"/>
    <n v="18.998000000000001"/>
    <n v="398.95800000000003"/>
    <d v="2019-01-27T00:00:00"/>
    <x v="347"/>
    <x v="0"/>
    <n v="379.96"/>
    <n v="4.7619047620000003"/>
    <n v="18.998000000000001"/>
    <n v="9.3000000000000007"/>
    <n v="379.96000000000004"/>
    <x v="3"/>
    <n v="1"/>
    <x v="2"/>
  </r>
  <r>
    <s v="189-52-0236"/>
    <x v="0"/>
    <s v="Yangon"/>
    <x v="1"/>
    <s v="Male"/>
    <x v="1"/>
    <n v="99.55"/>
    <n v="7"/>
    <n v="34.842500000000001"/>
    <n v="731.6925"/>
    <d v="2019-03-14T00:00:00"/>
    <x v="348"/>
    <x v="1"/>
    <n v="696.85"/>
    <n v="4.7619047620000003"/>
    <n v="34.842500000000001"/>
    <n v="7.6"/>
    <n v="696.85"/>
    <x v="2"/>
    <n v="3"/>
    <x v="6"/>
  </r>
  <r>
    <s v="503-07-0930"/>
    <x v="1"/>
    <s v="Naypyitaw"/>
    <x v="0"/>
    <s v="Male"/>
    <x v="3"/>
    <n v="58.39"/>
    <n v="7"/>
    <n v="20.436499999999999"/>
    <n v="429.16649999999998"/>
    <d v="2019-02-23T00:00:00"/>
    <x v="349"/>
    <x v="2"/>
    <n v="408.73"/>
    <n v="4.7619047620000003"/>
    <n v="20.436499999999999"/>
    <n v="8.1999999999999993"/>
    <n v="408.73"/>
    <x v="4"/>
    <n v="2"/>
    <x v="1"/>
  </r>
  <r>
    <s v="413-20-6708"/>
    <x v="1"/>
    <s v="Naypyitaw"/>
    <x v="0"/>
    <s v="Female"/>
    <x v="5"/>
    <n v="51.47"/>
    <n v="1"/>
    <n v="2.5735000000000001"/>
    <n v="54.043500000000002"/>
    <d v="2019-03-18T00:00:00"/>
    <x v="350"/>
    <x v="0"/>
    <n v="51.47"/>
    <n v="4.7619047620000003"/>
    <n v="2.5735000000000001"/>
    <n v="8.5"/>
    <n v="51.47"/>
    <x v="2"/>
    <n v="3"/>
    <x v="4"/>
  </r>
  <r>
    <s v="425-85-2085"/>
    <x v="2"/>
    <s v="Mandalay"/>
    <x v="0"/>
    <s v="Male"/>
    <x v="0"/>
    <n v="54.86"/>
    <n v="5"/>
    <n v="13.715"/>
    <n v="288.01499999999999"/>
    <d v="2019-03-29T00:00:00"/>
    <x v="13"/>
    <x v="0"/>
    <n v="274.3"/>
    <n v="4.7619047620000003"/>
    <n v="13.715"/>
    <n v="9.8000000000000007"/>
    <n v="274.3"/>
    <x v="2"/>
    <n v="3"/>
    <x v="3"/>
  </r>
  <r>
    <s v="521-18-7827"/>
    <x v="1"/>
    <s v="Naypyitaw"/>
    <x v="0"/>
    <s v="Male"/>
    <x v="2"/>
    <n v="39.39"/>
    <n v="5"/>
    <n v="9.8475000000000001"/>
    <n v="206.79750000000001"/>
    <d v="2019-01-22T00:00:00"/>
    <x v="351"/>
    <x v="2"/>
    <n v="196.95"/>
    <n v="4.7619047620000003"/>
    <n v="9.8475000000000001"/>
    <n v="8.6999999999999993"/>
    <n v="196.95"/>
    <x v="3"/>
    <n v="1"/>
    <x v="5"/>
  </r>
  <r>
    <s v="220-28-1851"/>
    <x v="0"/>
    <s v="Yangon"/>
    <x v="1"/>
    <s v="Male"/>
    <x v="2"/>
    <n v="34.729999999999997"/>
    <n v="2"/>
    <n v="3.4729999999999999"/>
    <n v="72.933000000000007"/>
    <d v="2019-01-03T00:00:00"/>
    <x v="92"/>
    <x v="0"/>
    <n v="69.459999999999994"/>
    <n v="4.7619047620000003"/>
    <n v="3.4729999999999999"/>
    <n v="9.6999999999999993"/>
    <n v="69.459999999999994"/>
    <x v="3"/>
    <n v="1"/>
    <x v="6"/>
  </r>
  <r>
    <s v="600-38-9738"/>
    <x v="1"/>
    <s v="Naypyitaw"/>
    <x v="0"/>
    <s v="Male"/>
    <x v="3"/>
    <n v="71.92"/>
    <n v="5"/>
    <n v="17.98"/>
    <n v="377.58"/>
    <d v="2019-01-17T00:00:00"/>
    <x v="184"/>
    <x v="2"/>
    <n v="359.6"/>
    <n v="4.7619047620000003"/>
    <n v="17.98"/>
    <n v="4.3"/>
    <n v="359.6"/>
    <x v="3"/>
    <n v="1"/>
    <x v="6"/>
  </r>
  <r>
    <s v="734-91-1155"/>
    <x v="2"/>
    <s v="Mandalay"/>
    <x v="1"/>
    <s v="Female"/>
    <x v="1"/>
    <n v="45.71"/>
    <n v="3"/>
    <n v="6.8564999999999996"/>
    <n v="143.98650000000001"/>
    <d v="2019-03-26T00:00:00"/>
    <x v="352"/>
    <x v="2"/>
    <n v="137.13"/>
    <n v="4.7619047620000003"/>
    <n v="6.8564999999999996"/>
    <n v="7.7"/>
    <n v="137.13"/>
    <x v="2"/>
    <n v="3"/>
    <x v="5"/>
  </r>
  <r>
    <s v="451-28-5717"/>
    <x v="1"/>
    <s v="Naypyitaw"/>
    <x v="0"/>
    <s v="Female"/>
    <x v="2"/>
    <n v="83.17"/>
    <n v="6"/>
    <n v="24.951000000000001"/>
    <n v="523.971"/>
    <d v="2019-03-20T00:00:00"/>
    <x v="219"/>
    <x v="1"/>
    <n v="499.02"/>
    <n v="4.7619047620000003"/>
    <n v="24.951000000000001"/>
    <n v="7.3"/>
    <n v="499.02"/>
    <x v="2"/>
    <n v="3"/>
    <x v="0"/>
  </r>
  <r>
    <s v="609-81-8548"/>
    <x v="0"/>
    <s v="Yangon"/>
    <x v="0"/>
    <s v="Female"/>
    <x v="2"/>
    <n v="37.44"/>
    <n v="6"/>
    <n v="11.231999999999999"/>
    <n v="235.87200000000001"/>
    <d v="2019-06-02T00:00:00"/>
    <x v="353"/>
    <x v="2"/>
    <n v="224.64"/>
    <n v="4.7619047620000003"/>
    <n v="11.231999999999999"/>
    <n v="5.9"/>
    <n v="224.64"/>
    <x v="6"/>
    <n v="6"/>
    <x v="2"/>
  </r>
  <r>
    <s v="133-14-7229"/>
    <x v="1"/>
    <s v="Naypyitaw"/>
    <x v="1"/>
    <s v="Male"/>
    <x v="0"/>
    <n v="62.87"/>
    <n v="2"/>
    <n v="6.2869999999999999"/>
    <n v="132.02699999999999"/>
    <d v="2019-01-01T00:00:00"/>
    <x v="354"/>
    <x v="1"/>
    <n v="125.74"/>
    <n v="4.7619047620000003"/>
    <n v="6.2869999999999999"/>
    <n v="5"/>
    <n v="125.74"/>
    <x v="3"/>
    <n v="1"/>
    <x v="5"/>
  </r>
  <r>
    <s v="534-01-4457"/>
    <x v="0"/>
    <s v="Yangon"/>
    <x v="1"/>
    <s v="Male"/>
    <x v="4"/>
    <n v="81.709999999999994"/>
    <n v="6"/>
    <n v="24.513000000000002"/>
    <n v="514.77300000000002"/>
    <d v="2019-01-27T00:00:00"/>
    <x v="6"/>
    <x v="2"/>
    <n v="490.26"/>
    <n v="4.7619047620000003"/>
    <n v="24.513000000000002"/>
    <n v="8"/>
    <n v="490.26"/>
    <x v="3"/>
    <n v="1"/>
    <x v="2"/>
  </r>
  <r>
    <s v="719-89-8991"/>
    <x v="0"/>
    <s v="Yangon"/>
    <x v="0"/>
    <s v="Female"/>
    <x v="3"/>
    <n v="91.41"/>
    <n v="5"/>
    <n v="22.852499999999999"/>
    <n v="479.90249999999997"/>
    <d v="2019-02-25T00:00:00"/>
    <x v="355"/>
    <x v="0"/>
    <n v="457.05"/>
    <n v="4.7619047620000003"/>
    <n v="22.852499999999999"/>
    <n v="7.1"/>
    <n v="457.04999999999995"/>
    <x v="4"/>
    <n v="2"/>
    <x v="4"/>
  </r>
  <r>
    <s v="286-62-6248"/>
    <x v="2"/>
    <s v="Mandalay"/>
    <x v="1"/>
    <s v="Male"/>
    <x v="5"/>
    <n v="39.21"/>
    <n v="4"/>
    <n v="7.8419999999999996"/>
    <n v="164.68199999999999"/>
    <d v="2019-01-16T00:00:00"/>
    <x v="356"/>
    <x v="2"/>
    <n v="156.84"/>
    <n v="4.7619047620000003"/>
    <n v="7.8419999999999996"/>
    <n v="9"/>
    <n v="156.84"/>
    <x v="3"/>
    <n v="1"/>
    <x v="0"/>
  </r>
  <r>
    <s v="339-38-9982"/>
    <x v="2"/>
    <s v="Mandalay"/>
    <x v="0"/>
    <s v="Male"/>
    <x v="5"/>
    <n v="59.86"/>
    <n v="2"/>
    <n v="5.9859999999999998"/>
    <n v="125.706"/>
    <d v="2019-01-13T00:00:00"/>
    <x v="304"/>
    <x v="0"/>
    <n v="119.72"/>
    <n v="4.7619047620000003"/>
    <n v="5.9859999999999998"/>
    <n v="6.7"/>
    <n v="119.72"/>
    <x v="3"/>
    <n v="1"/>
    <x v="2"/>
  </r>
  <r>
    <s v="827-44-5872"/>
    <x v="2"/>
    <s v="Mandalay"/>
    <x v="0"/>
    <s v="Female"/>
    <x v="4"/>
    <n v="54.36"/>
    <n v="10"/>
    <n v="27.18"/>
    <n v="570.78"/>
    <d v="2019-07-02T00:00:00"/>
    <x v="56"/>
    <x v="2"/>
    <n v="543.6"/>
    <n v="4.7619047620000003"/>
    <n v="27.18"/>
    <n v="6.1"/>
    <n v="543.6"/>
    <x v="9"/>
    <n v="7"/>
    <x v="5"/>
  </r>
  <r>
    <s v="827-77-7633"/>
    <x v="0"/>
    <s v="Yangon"/>
    <x v="1"/>
    <s v="Male"/>
    <x v="3"/>
    <n v="98.09"/>
    <n v="9"/>
    <n v="44.140500000000003"/>
    <n v="926.95050000000003"/>
    <d v="2019-02-17T00:00:00"/>
    <x v="357"/>
    <x v="1"/>
    <n v="882.81"/>
    <n v="4.7619047620000003"/>
    <n v="44.140500000000003"/>
    <n v="9.3000000000000007"/>
    <n v="882.81000000000006"/>
    <x v="4"/>
    <n v="2"/>
    <x v="2"/>
  </r>
  <r>
    <s v="287-83-1405"/>
    <x v="0"/>
    <s v="Yangon"/>
    <x v="1"/>
    <s v="Male"/>
    <x v="0"/>
    <n v="25.43"/>
    <n v="6"/>
    <n v="7.6289999999999996"/>
    <n v="160.209"/>
    <d v="2019-12-02T00:00:00"/>
    <x v="54"/>
    <x v="0"/>
    <n v="152.58000000000001"/>
    <n v="4.7619047620000003"/>
    <n v="7.6289999999999996"/>
    <n v="7"/>
    <n v="152.57999999999998"/>
    <x v="8"/>
    <n v="12"/>
    <x v="4"/>
  </r>
  <r>
    <s v="435-13-4908"/>
    <x v="0"/>
    <s v="Yangon"/>
    <x v="0"/>
    <s v="Male"/>
    <x v="5"/>
    <n v="86.68"/>
    <n v="8"/>
    <n v="34.671999999999997"/>
    <n v="728.11199999999997"/>
    <d v="2019-01-24T00:00:00"/>
    <x v="358"/>
    <x v="2"/>
    <n v="693.44"/>
    <n v="4.7619047620000003"/>
    <n v="34.671999999999997"/>
    <n v="7.2"/>
    <n v="693.44"/>
    <x v="3"/>
    <n v="1"/>
    <x v="6"/>
  </r>
  <r>
    <s v="857-67-9057"/>
    <x v="2"/>
    <s v="Mandalay"/>
    <x v="1"/>
    <s v="Male"/>
    <x v="1"/>
    <n v="22.95"/>
    <n v="10"/>
    <n v="11.475"/>
    <n v="240.97499999999999"/>
    <d v="2019-06-02T00:00:00"/>
    <x v="25"/>
    <x v="0"/>
    <n v="229.5"/>
    <n v="4.7619047620000003"/>
    <n v="11.475"/>
    <n v="8.1999999999999993"/>
    <n v="229.5"/>
    <x v="6"/>
    <n v="6"/>
    <x v="2"/>
  </r>
  <r>
    <s v="236-27-1144"/>
    <x v="1"/>
    <s v="Naypyitaw"/>
    <x v="1"/>
    <s v="Female"/>
    <x v="4"/>
    <n v="16.309999999999999"/>
    <n v="9"/>
    <n v="7.3395000000000001"/>
    <n v="154.12950000000001"/>
    <d v="2019-03-26T00:00:00"/>
    <x v="359"/>
    <x v="0"/>
    <n v="146.79"/>
    <n v="4.7619047620000003"/>
    <n v="7.3395000000000001"/>
    <n v="8.4"/>
    <n v="146.79"/>
    <x v="2"/>
    <n v="3"/>
    <x v="5"/>
  </r>
  <r>
    <s v="892-05-6689"/>
    <x v="0"/>
    <s v="Yangon"/>
    <x v="1"/>
    <s v="Female"/>
    <x v="2"/>
    <n v="28.32"/>
    <n v="5"/>
    <n v="7.08"/>
    <n v="148.68"/>
    <d v="2019-11-03T00:00:00"/>
    <x v="360"/>
    <x v="0"/>
    <n v="141.6"/>
    <n v="4.7619047620000003"/>
    <n v="7.08"/>
    <n v="6.2"/>
    <n v="141.6"/>
    <x v="10"/>
    <n v="11"/>
    <x v="2"/>
  </r>
  <r>
    <s v="583-41-4548"/>
    <x v="1"/>
    <s v="Naypyitaw"/>
    <x v="1"/>
    <s v="Male"/>
    <x v="2"/>
    <n v="16.670000000000002"/>
    <n v="7"/>
    <n v="5.8345000000000002"/>
    <n v="122.5245"/>
    <d v="2019-07-02T00:00:00"/>
    <x v="150"/>
    <x v="0"/>
    <n v="116.69"/>
    <n v="4.7619047620000003"/>
    <n v="5.8345000000000002"/>
    <n v="7.4"/>
    <n v="116.69000000000001"/>
    <x v="9"/>
    <n v="7"/>
    <x v="5"/>
  </r>
  <r>
    <s v="339-12-4827"/>
    <x v="2"/>
    <s v="Mandalay"/>
    <x v="0"/>
    <s v="Female"/>
    <x v="5"/>
    <n v="73.959999999999994"/>
    <n v="1"/>
    <n v="3.698"/>
    <n v="77.658000000000001"/>
    <d v="2019-05-01T00:00:00"/>
    <x v="102"/>
    <x v="2"/>
    <n v="73.959999999999994"/>
    <n v="4.7619047620000003"/>
    <n v="3.698"/>
    <n v="5"/>
    <n v="73.959999999999994"/>
    <x v="0"/>
    <n v="5"/>
    <x v="0"/>
  </r>
  <r>
    <s v="643-38-7867"/>
    <x v="0"/>
    <s v="Yangon"/>
    <x v="1"/>
    <s v="Male"/>
    <x v="2"/>
    <n v="97.94"/>
    <n v="1"/>
    <n v="4.8970000000000002"/>
    <n v="102.837"/>
    <d v="2019-07-03T00:00:00"/>
    <x v="231"/>
    <x v="0"/>
    <n v="97.94"/>
    <n v="4.7619047620000003"/>
    <n v="4.8970000000000002"/>
    <n v="6.9"/>
    <n v="97.94"/>
    <x v="9"/>
    <n v="7"/>
    <x v="0"/>
  </r>
  <r>
    <s v="308-81-0538"/>
    <x v="0"/>
    <s v="Yangon"/>
    <x v="1"/>
    <s v="Female"/>
    <x v="5"/>
    <n v="73.05"/>
    <n v="4"/>
    <n v="14.61"/>
    <n v="306.81"/>
    <d v="2019-02-25T00:00:00"/>
    <x v="361"/>
    <x v="2"/>
    <n v="292.2"/>
    <n v="4.7619047620000003"/>
    <n v="14.61"/>
    <n v="4.9000000000000004"/>
    <n v="292.2"/>
    <x v="4"/>
    <n v="2"/>
    <x v="4"/>
  </r>
  <r>
    <s v="358-88-9262"/>
    <x v="1"/>
    <s v="Naypyitaw"/>
    <x v="0"/>
    <s v="Female"/>
    <x v="4"/>
    <n v="87.48"/>
    <n v="6"/>
    <n v="26.244"/>
    <n v="551.12400000000002"/>
    <d v="2019-01-02T00:00:00"/>
    <x v="362"/>
    <x v="0"/>
    <n v="524.88"/>
    <n v="4.7619047620000003"/>
    <n v="26.244"/>
    <n v="5.0999999999999996"/>
    <n v="524.88"/>
    <x v="3"/>
    <n v="1"/>
    <x v="0"/>
  </r>
  <r>
    <s v="460-35-4390"/>
    <x v="0"/>
    <s v="Yangon"/>
    <x v="1"/>
    <s v="Male"/>
    <x v="2"/>
    <n v="30.68"/>
    <n v="3"/>
    <n v="4.6020000000000003"/>
    <n v="96.641999999999996"/>
    <d v="2019-01-22T00:00:00"/>
    <x v="224"/>
    <x v="0"/>
    <n v="92.04"/>
    <n v="4.7619047620000003"/>
    <n v="4.6020000000000003"/>
    <n v="9.1"/>
    <n v="92.039999999999992"/>
    <x v="3"/>
    <n v="1"/>
    <x v="5"/>
  </r>
  <r>
    <s v="343-87-0864"/>
    <x v="1"/>
    <s v="Naypyitaw"/>
    <x v="0"/>
    <s v="Male"/>
    <x v="0"/>
    <n v="75.88"/>
    <n v="1"/>
    <n v="3.794"/>
    <n v="79.674000000000007"/>
    <d v="2019-03-01T00:00:00"/>
    <x v="363"/>
    <x v="2"/>
    <n v="75.88"/>
    <n v="4.7619047620000003"/>
    <n v="3.794"/>
    <n v="7.1"/>
    <n v="75.88"/>
    <x v="2"/>
    <n v="3"/>
    <x v="3"/>
  </r>
  <r>
    <s v="173-50-1108"/>
    <x v="2"/>
    <s v="Mandalay"/>
    <x v="0"/>
    <s v="Female"/>
    <x v="3"/>
    <n v="20.18"/>
    <n v="4"/>
    <n v="4.0359999999999996"/>
    <n v="84.756"/>
    <d v="2019-02-13T00:00:00"/>
    <x v="280"/>
    <x v="2"/>
    <n v="80.72"/>
    <n v="4.7619047620000003"/>
    <n v="4.0359999999999996"/>
    <n v="5"/>
    <n v="80.72"/>
    <x v="4"/>
    <n v="2"/>
    <x v="0"/>
  </r>
  <r>
    <s v="243-47-2663"/>
    <x v="1"/>
    <s v="Naypyitaw"/>
    <x v="0"/>
    <s v="Male"/>
    <x v="1"/>
    <n v="18.77"/>
    <n v="6"/>
    <n v="5.6310000000000002"/>
    <n v="118.251"/>
    <d v="2019-01-28T00:00:00"/>
    <x v="122"/>
    <x v="2"/>
    <n v="112.62"/>
    <n v="4.7619047620000003"/>
    <n v="5.6310000000000002"/>
    <n v="5.5"/>
    <n v="112.62"/>
    <x v="3"/>
    <n v="1"/>
    <x v="4"/>
  </r>
  <r>
    <s v="841-18-8232"/>
    <x v="2"/>
    <s v="Mandalay"/>
    <x v="1"/>
    <s v="Female"/>
    <x v="4"/>
    <n v="71.2"/>
    <n v="1"/>
    <n v="3.56"/>
    <n v="74.760000000000005"/>
    <d v="2019-05-01T00:00:00"/>
    <x v="364"/>
    <x v="2"/>
    <n v="71.2"/>
    <n v="4.7619047620000003"/>
    <n v="3.56"/>
    <n v="9.1999999999999993"/>
    <n v="71.2"/>
    <x v="0"/>
    <n v="5"/>
    <x v="0"/>
  </r>
  <r>
    <s v="701-23-5550"/>
    <x v="2"/>
    <s v="Mandalay"/>
    <x v="0"/>
    <s v="Male"/>
    <x v="2"/>
    <n v="38.81"/>
    <n v="4"/>
    <n v="7.7619999999999996"/>
    <n v="163.00200000000001"/>
    <d v="2019-03-19T00:00:00"/>
    <x v="61"/>
    <x v="0"/>
    <n v="155.24"/>
    <n v="4.7619047620000003"/>
    <n v="7.7619999999999996"/>
    <n v="4.9000000000000004"/>
    <n v="155.24"/>
    <x v="2"/>
    <n v="3"/>
    <x v="5"/>
  </r>
  <r>
    <s v="647-50-1224"/>
    <x v="0"/>
    <s v="Yangon"/>
    <x v="1"/>
    <s v="Female"/>
    <x v="5"/>
    <n v="29.42"/>
    <n v="10"/>
    <n v="14.71"/>
    <n v="308.91000000000003"/>
    <d v="2019-12-01T00:00:00"/>
    <x v="293"/>
    <x v="0"/>
    <n v="294.2"/>
    <n v="4.7619047620000003"/>
    <n v="14.71"/>
    <n v="8.9"/>
    <n v="294.20000000000005"/>
    <x v="8"/>
    <n v="12"/>
    <x v="2"/>
  </r>
  <r>
    <s v="541-48-8554"/>
    <x v="0"/>
    <s v="Yangon"/>
    <x v="1"/>
    <s v="Male"/>
    <x v="3"/>
    <n v="60.95"/>
    <n v="9"/>
    <n v="27.427499999999998"/>
    <n v="575.97749999999996"/>
    <d v="2019-07-01T00:00:00"/>
    <x v="365"/>
    <x v="2"/>
    <n v="548.54999999999995"/>
    <n v="4.7619047620000003"/>
    <n v="27.427499999999998"/>
    <n v="6"/>
    <n v="548.55000000000007"/>
    <x v="9"/>
    <n v="7"/>
    <x v="4"/>
  </r>
  <r>
    <s v="539-21-7227"/>
    <x v="2"/>
    <s v="Mandalay"/>
    <x v="1"/>
    <s v="Female"/>
    <x v="3"/>
    <n v="51.54"/>
    <n v="5"/>
    <n v="12.885"/>
    <n v="270.58499999999998"/>
    <d v="2019-01-26T00:00:00"/>
    <x v="366"/>
    <x v="1"/>
    <n v="257.7"/>
    <n v="4.7619047620000003"/>
    <n v="12.885"/>
    <n v="4.2"/>
    <n v="257.7"/>
    <x v="3"/>
    <n v="1"/>
    <x v="1"/>
  </r>
  <r>
    <s v="213-32-1216"/>
    <x v="0"/>
    <s v="Yangon"/>
    <x v="1"/>
    <s v="Female"/>
    <x v="1"/>
    <n v="66.06"/>
    <n v="6"/>
    <n v="19.818000000000001"/>
    <n v="416.178"/>
    <d v="2019-01-23T00:00:00"/>
    <x v="367"/>
    <x v="1"/>
    <n v="396.36"/>
    <n v="4.7619047620000003"/>
    <n v="19.818000000000001"/>
    <n v="7.3"/>
    <n v="396.36"/>
    <x v="3"/>
    <n v="1"/>
    <x v="0"/>
  </r>
  <r>
    <s v="747-58-7183"/>
    <x v="2"/>
    <s v="Mandalay"/>
    <x v="1"/>
    <s v="Male"/>
    <x v="5"/>
    <n v="57.27"/>
    <n v="3"/>
    <n v="8.5905000000000005"/>
    <n v="180.40049999999999"/>
    <d v="2019-09-02T00:00:00"/>
    <x v="106"/>
    <x v="0"/>
    <n v="171.81"/>
    <n v="4.7619047620000003"/>
    <n v="8.5905000000000005"/>
    <n v="6.5"/>
    <n v="171.81"/>
    <x v="7"/>
    <n v="9"/>
    <x v="4"/>
  </r>
  <r>
    <s v="582-52-8065"/>
    <x v="2"/>
    <s v="Mandalay"/>
    <x v="1"/>
    <s v="Female"/>
    <x v="5"/>
    <n v="54.31"/>
    <n v="9"/>
    <n v="24.439499999999999"/>
    <n v="513.22950000000003"/>
    <d v="2019-02-22T00:00:00"/>
    <x v="368"/>
    <x v="1"/>
    <n v="488.79"/>
    <n v="4.7619047620000003"/>
    <n v="24.439499999999999"/>
    <n v="8.9"/>
    <n v="488.79"/>
    <x v="4"/>
    <n v="2"/>
    <x v="3"/>
  </r>
  <r>
    <s v="210-57-1719"/>
    <x v="2"/>
    <s v="Mandalay"/>
    <x v="1"/>
    <s v="Female"/>
    <x v="0"/>
    <n v="58.24"/>
    <n v="9"/>
    <n v="26.207999999999998"/>
    <n v="550.36800000000005"/>
    <d v="2019-05-02T00:00:00"/>
    <x v="369"/>
    <x v="1"/>
    <n v="524.16"/>
    <n v="4.7619047620000003"/>
    <n v="26.207999999999998"/>
    <n v="9.6999999999999993"/>
    <n v="524.16"/>
    <x v="0"/>
    <n v="5"/>
    <x v="6"/>
  </r>
  <r>
    <s v="399-69-4630"/>
    <x v="1"/>
    <s v="Naypyitaw"/>
    <x v="1"/>
    <s v="Male"/>
    <x v="1"/>
    <n v="22.21"/>
    <n v="6"/>
    <n v="6.6630000000000003"/>
    <n v="139.923"/>
    <d v="2019-07-03T00:00:00"/>
    <x v="81"/>
    <x v="2"/>
    <n v="133.26"/>
    <n v="4.7619047620000003"/>
    <n v="6.6630000000000003"/>
    <n v="8.6"/>
    <n v="133.26"/>
    <x v="9"/>
    <n v="7"/>
    <x v="0"/>
  </r>
  <r>
    <s v="134-75-2619"/>
    <x v="0"/>
    <s v="Yangon"/>
    <x v="0"/>
    <s v="Male"/>
    <x v="1"/>
    <n v="19.32"/>
    <n v="7"/>
    <n v="6.7619999999999996"/>
    <n v="142.00200000000001"/>
    <d v="2019-03-25T00:00:00"/>
    <x v="370"/>
    <x v="1"/>
    <n v="135.24"/>
    <n v="4.7619047620000003"/>
    <n v="6.7619999999999996"/>
    <n v="6.9"/>
    <n v="135.24"/>
    <x v="2"/>
    <n v="3"/>
    <x v="4"/>
  </r>
  <r>
    <s v="356-44-8813"/>
    <x v="2"/>
    <s v="Mandalay"/>
    <x v="1"/>
    <s v="Male"/>
    <x v="2"/>
    <n v="37.479999999999997"/>
    <n v="3"/>
    <n v="5.6219999999999999"/>
    <n v="118.062"/>
    <d v="2019-01-20T00:00:00"/>
    <x v="286"/>
    <x v="2"/>
    <n v="112.44"/>
    <n v="4.7619047620000003"/>
    <n v="5.6219999999999999"/>
    <n v="7.7"/>
    <n v="112.44"/>
    <x v="3"/>
    <n v="1"/>
    <x v="2"/>
  </r>
  <r>
    <s v="198-66-9832"/>
    <x v="2"/>
    <s v="Mandalay"/>
    <x v="0"/>
    <s v="Female"/>
    <x v="5"/>
    <n v="72.040000000000006"/>
    <n v="2"/>
    <n v="7.2039999999999997"/>
    <n v="151.28399999999999"/>
    <d v="2019-04-02T00:00:00"/>
    <x v="371"/>
    <x v="1"/>
    <n v="144.08000000000001"/>
    <n v="4.7619047620000003"/>
    <n v="7.2039999999999997"/>
    <n v="9.5"/>
    <n v="144.08000000000001"/>
    <x v="11"/>
    <n v="4"/>
    <x v="5"/>
  </r>
  <r>
    <s v="283-26-5248"/>
    <x v="1"/>
    <s v="Naypyitaw"/>
    <x v="0"/>
    <s v="Female"/>
    <x v="4"/>
    <n v="98.52"/>
    <n v="10"/>
    <n v="49.26"/>
    <n v="1034.46"/>
    <d v="2019-01-30T00:00:00"/>
    <x v="169"/>
    <x v="0"/>
    <n v="985.2"/>
    <n v="4.7619047620000003"/>
    <n v="49.26"/>
    <n v="4.5"/>
    <n v="985.19999999999993"/>
    <x v="3"/>
    <n v="1"/>
    <x v="0"/>
  </r>
  <r>
    <s v="712-39-0363"/>
    <x v="0"/>
    <s v="Yangon"/>
    <x v="0"/>
    <s v="Male"/>
    <x v="4"/>
    <n v="41.66"/>
    <n v="6"/>
    <n v="12.497999999999999"/>
    <n v="262.45800000000003"/>
    <d v="2019-02-01T00:00:00"/>
    <x v="145"/>
    <x v="0"/>
    <n v="249.96"/>
    <n v="4.7619047620000003"/>
    <n v="12.497999999999999"/>
    <n v="5.6"/>
    <n v="249.95999999999998"/>
    <x v="4"/>
    <n v="2"/>
    <x v="3"/>
  </r>
  <r>
    <s v="218-59-9410"/>
    <x v="0"/>
    <s v="Yangon"/>
    <x v="0"/>
    <s v="Female"/>
    <x v="2"/>
    <n v="72.42"/>
    <n v="3"/>
    <n v="10.863"/>
    <n v="228.12299999999999"/>
    <d v="2019-03-29T00:00:00"/>
    <x v="336"/>
    <x v="0"/>
    <n v="217.26"/>
    <n v="4.7619047620000003"/>
    <n v="10.863"/>
    <n v="8.1999999999999993"/>
    <n v="217.26"/>
    <x v="2"/>
    <n v="3"/>
    <x v="3"/>
  </r>
  <r>
    <s v="174-75-0888"/>
    <x v="2"/>
    <s v="Mandalay"/>
    <x v="1"/>
    <s v="Male"/>
    <x v="1"/>
    <n v="21.58"/>
    <n v="9"/>
    <n v="9.7110000000000003"/>
    <n v="203.93100000000001"/>
    <d v="2019-03-14T00:00:00"/>
    <x v="372"/>
    <x v="1"/>
    <n v="194.22"/>
    <n v="4.7619047620000003"/>
    <n v="9.7110000000000003"/>
    <n v="7.3"/>
    <n v="194.21999999999997"/>
    <x v="2"/>
    <n v="3"/>
    <x v="6"/>
  </r>
  <r>
    <s v="866-99-7614"/>
    <x v="1"/>
    <s v="Naypyitaw"/>
    <x v="1"/>
    <s v="Male"/>
    <x v="4"/>
    <n v="89.2"/>
    <n v="10"/>
    <n v="44.6"/>
    <n v="936.6"/>
    <d v="2019-11-02T00:00:00"/>
    <x v="324"/>
    <x v="2"/>
    <n v="892"/>
    <n v="4.7619047620000003"/>
    <n v="44.6"/>
    <n v="4.4000000000000004"/>
    <n v="892"/>
    <x v="10"/>
    <n v="11"/>
    <x v="1"/>
  </r>
  <r>
    <s v="134-54-4720"/>
    <x v="2"/>
    <s v="Mandalay"/>
    <x v="1"/>
    <s v="Female"/>
    <x v="1"/>
    <n v="42.42"/>
    <n v="8"/>
    <n v="16.968"/>
    <n v="356.32799999999997"/>
    <d v="2019-01-30T00:00:00"/>
    <x v="139"/>
    <x v="0"/>
    <n v="339.36"/>
    <n v="4.7619047620000003"/>
    <n v="16.968"/>
    <n v="5.7"/>
    <n v="339.36"/>
    <x v="3"/>
    <n v="1"/>
    <x v="0"/>
  </r>
  <r>
    <s v="760-90-2357"/>
    <x v="0"/>
    <s v="Yangon"/>
    <x v="0"/>
    <s v="Male"/>
    <x v="1"/>
    <n v="74.510000000000005"/>
    <n v="6"/>
    <n v="22.353000000000002"/>
    <n v="469.41300000000001"/>
    <d v="2019-03-20T00:00:00"/>
    <x v="264"/>
    <x v="0"/>
    <n v="447.06"/>
    <n v="4.7619047620000003"/>
    <n v="22.353000000000002"/>
    <n v="5"/>
    <n v="447.06000000000006"/>
    <x v="2"/>
    <n v="3"/>
    <x v="0"/>
  </r>
  <r>
    <s v="514-37-2845"/>
    <x v="2"/>
    <s v="Mandalay"/>
    <x v="1"/>
    <s v="Male"/>
    <x v="5"/>
    <n v="99.25"/>
    <n v="2"/>
    <n v="9.9250000000000007"/>
    <n v="208.42500000000001"/>
    <d v="2019-03-20T00:00:00"/>
    <x v="276"/>
    <x v="1"/>
    <n v="198.5"/>
    <n v="4.7619047620000003"/>
    <n v="9.9250000000000007"/>
    <n v="9"/>
    <n v="198.5"/>
    <x v="2"/>
    <n v="3"/>
    <x v="0"/>
  </r>
  <r>
    <s v="698-98-5964"/>
    <x v="0"/>
    <s v="Yangon"/>
    <x v="1"/>
    <s v="Female"/>
    <x v="4"/>
    <n v="81.209999999999994"/>
    <n v="10"/>
    <n v="40.604999999999997"/>
    <n v="852.70500000000004"/>
    <d v="2019-01-17T00:00:00"/>
    <x v="39"/>
    <x v="2"/>
    <n v="812.1"/>
    <n v="4.7619047620000003"/>
    <n v="40.604999999999997"/>
    <n v="6.3"/>
    <n v="812.09999999999991"/>
    <x v="3"/>
    <n v="1"/>
    <x v="6"/>
  </r>
  <r>
    <s v="718-57-9773"/>
    <x v="1"/>
    <s v="Naypyitaw"/>
    <x v="1"/>
    <s v="Female"/>
    <x v="3"/>
    <n v="49.33"/>
    <n v="10"/>
    <n v="24.664999999999999"/>
    <n v="517.96500000000003"/>
    <d v="2019-03-02T00:00:00"/>
    <x v="64"/>
    <x v="2"/>
    <n v="493.3"/>
    <n v="4.7619047620000003"/>
    <n v="24.664999999999999"/>
    <n v="9.4"/>
    <n v="493.29999999999995"/>
    <x v="2"/>
    <n v="3"/>
    <x v="1"/>
  </r>
  <r>
    <s v="651-88-7328"/>
    <x v="0"/>
    <s v="Yangon"/>
    <x v="1"/>
    <s v="Female"/>
    <x v="5"/>
    <n v="65.739999999999995"/>
    <n v="9"/>
    <n v="29.582999999999998"/>
    <n v="621.24300000000005"/>
    <d v="2019-01-01T00:00:00"/>
    <x v="353"/>
    <x v="1"/>
    <n v="591.66"/>
    <n v="4.7619047620000003"/>
    <n v="29.582999999999998"/>
    <n v="7.7"/>
    <n v="591.66"/>
    <x v="3"/>
    <n v="1"/>
    <x v="5"/>
  </r>
  <r>
    <s v="241-11-2261"/>
    <x v="2"/>
    <s v="Mandalay"/>
    <x v="1"/>
    <s v="Female"/>
    <x v="5"/>
    <n v="79.86"/>
    <n v="7"/>
    <n v="27.951000000000001"/>
    <n v="586.971"/>
    <d v="2019-10-01T00:00:00"/>
    <x v="373"/>
    <x v="2"/>
    <n v="559.02"/>
    <n v="4.7619047620000003"/>
    <n v="27.951000000000001"/>
    <n v="5.5"/>
    <n v="559.02"/>
    <x v="5"/>
    <n v="10"/>
    <x v="5"/>
  </r>
  <r>
    <s v="408-26-9866"/>
    <x v="1"/>
    <s v="Naypyitaw"/>
    <x v="1"/>
    <s v="Female"/>
    <x v="3"/>
    <n v="73.98"/>
    <n v="7"/>
    <n v="25.893000000000001"/>
    <n v="543.75300000000004"/>
    <d v="2019-02-03T00:00:00"/>
    <x v="86"/>
    <x v="0"/>
    <n v="517.86"/>
    <n v="4.7619047620000003"/>
    <n v="25.893000000000001"/>
    <n v="4.0999999999999996"/>
    <n v="517.86"/>
    <x v="4"/>
    <n v="2"/>
    <x v="2"/>
  </r>
  <r>
    <s v="834-83-1826"/>
    <x v="2"/>
    <s v="Mandalay"/>
    <x v="0"/>
    <s v="Female"/>
    <x v="2"/>
    <n v="82.04"/>
    <n v="5"/>
    <n v="20.51"/>
    <n v="430.71"/>
    <d v="2019-02-25T00:00:00"/>
    <x v="361"/>
    <x v="2"/>
    <n v="410.2"/>
    <n v="4.7619047620000003"/>
    <n v="20.51"/>
    <n v="7.6"/>
    <n v="410.20000000000005"/>
    <x v="4"/>
    <n v="2"/>
    <x v="4"/>
  </r>
  <r>
    <s v="343-61-3544"/>
    <x v="2"/>
    <s v="Mandalay"/>
    <x v="0"/>
    <s v="Male"/>
    <x v="3"/>
    <n v="26.67"/>
    <n v="10"/>
    <n v="13.335000000000001"/>
    <n v="280.03500000000003"/>
    <d v="2019-01-29T00:00:00"/>
    <x v="340"/>
    <x v="1"/>
    <n v="266.7"/>
    <n v="4.7619047620000003"/>
    <n v="13.335000000000001"/>
    <n v="8.6"/>
    <n v="266.70000000000005"/>
    <x v="3"/>
    <n v="1"/>
    <x v="5"/>
  </r>
  <r>
    <s v="239-48-4278"/>
    <x v="0"/>
    <s v="Yangon"/>
    <x v="0"/>
    <s v="Male"/>
    <x v="4"/>
    <n v="10.130000000000001"/>
    <n v="7"/>
    <n v="3.5455000000000001"/>
    <n v="74.455500000000001"/>
    <d v="2019-10-03T00:00:00"/>
    <x v="323"/>
    <x v="0"/>
    <n v="70.91"/>
    <n v="4.7619047620000003"/>
    <n v="3.5455000000000001"/>
    <n v="8.3000000000000007"/>
    <n v="70.910000000000011"/>
    <x v="5"/>
    <n v="10"/>
    <x v="6"/>
  </r>
  <r>
    <s v="355-34-6244"/>
    <x v="2"/>
    <s v="Mandalay"/>
    <x v="1"/>
    <s v="Male"/>
    <x v="4"/>
    <n v="72.39"/>
    <n v="2"/>
    <n v="7.2389999999999999"/>
    <n v="152.01900000000001"/>
    <d v="2019-01-13T00:00:00"/>
    <x v="374"/>
    <x v="2"/>
    <n v="144.78"/>
    <n v="4.7619047620000003"/>
    <n v="7.2389999999999999"/>
    <n v="8.1"/>
    <n v="144.78"/>
    <x v="3"/>
    <n v="1"/>
    <x v="2"/>
  </r>
  <r>
    <s v="550-84-8664"/>
    <x v="0"/>
    <s v="Yangon"/>
    <x v="1"/>
    <s v="Male"/>
    <x v="3"/>
    <n v="85.91"/>
    <n v="5"/>
    <n v="21.477499999999999"/>
    <n v="451.02749999999997"/>
    <d v="2019-03-22T00:00:00"/>
    <x v="375"/>
    <x v="2"/>
    <n v="429.55"/>
    <n v="4.7619047620000003"/>
    <n v="21.477499999999999"/>
    <n v="8.6"/>
    <n v="429.54999999999995"/>
    <x v="2"/>
    <n v="3"/>
    <x v="3"/>
  </r>
  <r>
    <s v="339-96-8318"/>
    <x v="2"/>
    <s v="Mandalay"/>
    <x v="0"/>
    <s v="Male"/>
    <x v="5"/>
    <n v="81.31"/>
    <n v="7"/>
    <n v="28.458500000000001"/>
    <n v="597.62850000000003"/>
    <d v="2019-01-03T00:00:00"/>
    <x v="349"/>
    <x v="0"/>
    <n v="569.16999999999996"/>
    <n v="4.7619047620000003"/>
    <n v="28.458500000000001"/>
    <n v="6.3"/>
    <n v="569.17000000000007"/>
    <x v="3"/>
    <n v="1"/>
    <x v="6"/>
  </r>
  <r>
    <s v="458-61-0011"/>
    <x v="2"/>
    <s v="Mandalay"/>
    <x v="1"/>
    <s v="Male"/>
    <x v="4"/>
    <n v="60.3"/>
    <n v="4"/>
    <n v="12.06"/>
    <n v="253.26"/>
    <d v="2019-02-20T00:00:00"/>
    <x v="362"/>
    <x v="1"/>
    <n v="241.2"/>
    <n v="4.7619047620000003"/>
    <n v="12.06"/>
    <n v="5.8"/>
    <n v="241.2"/>
    <x v="4"/>
    <n v="2"/>
    <x v="0"/>
  </r>
  <r>
    <s v="592-34-6155"/>
    <x v="1"/>
    <s v="Naypyitaw"/>
    <x v="1"/>
    <s v="Male"/>
    <x v="4"/>
    <n v="31.77"/>
    <n v="4"/>
    <n v="6.3540000000000001"/>
    <n v="133.434"/>
    <d v="2019-01-14T00:00:00"/>
    <x v="140"/>
    <x v="0"/>
    <n v="127.08"/>
    <n v="4.7619047620000003"/>
    <n v="6.3540000000000001"/>
    <n v="6.2"/>
    <n v="127.08"/>
    <x v="3"/>
    <n v="1"/>
    <x v="4"/>
  </r>
  <r>
    <s v="797-88-0493"/>
    <x v="0"/>
    <s v="Yangon"/>
    <x v="1"/>
    <s v="Female"/>
    <x v="0"/>
    <n v="64.27"/>
    <n v="4"/>
    <n v="12.853999999999999"/>
    <n v="269.93400000000003"/>
    <d v="2019-03-26T00:00:00"/>
    <x v="376"/>
    <x v="1"/>
    <n v="257.08"/>
    <n v="4.7619047620000003"/>
    <n v="12.853999999999999"/>
    <n v="7.7"/>
    <n v="257.08"/>
    <x v="2"/>
    <n v="3"/>
    <x v="5"/>
  </r>
  <r>
    <s v="207-73-1363"/>
    <x v="2"/>
    <s v="Mandalay"/>
    <x v="1"/>
    <s v="Male"/>
    <x v="0"/>
    <n v="69.510000000000005"/>
    <n v="2"/>
    <n v="6.9509999999999996"/>
    <n v="145.971"/>
    <d v="2019-01-03T00:00:00"/>
    <x v="377"/>
    <x v="0"/>
    <n v="139.02000000000001"/>
    <n v="4.7619047620000003"/>
    <n v="6.9509999999999996"/>
    <n v="8.1"/>
    <n v="139.02000000000001"/>
    <x v="3"/>
    <n v="1"/>
    <x v="6"/>
  </r>
  <r>
    <s v="390-31-6381"/>
    <x v="1"/>
    <s v="Naypyitaw"/>
    <x v="1"/>
    <s v="Male"/>
    <x v="4"/>
    <n v="27.22"/>
    <n v="3"/>
    <n v="4.0830000000000002"/>
    <n v="85.742999999999995"/>
    <d v="2019-07-01T00:00:00"/>
    <x v="378"/>
    <x v="1"/>
    <n v="81.66"/>
    <n v="4.7619047620000003"/>
    <n v="4.0830000000000002"/>
    <n v="7.3"/>
    <n v="81.66"/>
    <x v="9"/>
    <n v="7"/>
    <x v="4"/>
  </r>
  <r>
    <s v="443-82-0585"/>
    <x v="0"/>
    <s v="Yangon"/>
    <x v="0"/>
    <s v="Female"/>
    <x v="0"/>
    <n v="77.680000000000007"/>
    <n v="4"/>
    <n v="15.536"/>
    <n v="326.25599999999997"/>
    <d v="2019-01-02T00:00:00"/>
    <x v="85"/>
    <x v="1"/>
    <n v="310.72000000000003"/>
    <n v="4.7619047620000003"/>
    <n v="15.536"/>
    <n v="8.4"/>
    <n v="310.72000000000003"/>
    <x v="3"/>
    <n v="1"/>
    <x v="0"/>
  </r>
  <r>
    <s v="339-18-7061"/>
    <x v="1"/>
    <s v="Naypyitaw"/>
    <x v="0"/>
    <s v="Female"/>
    <x v="5"/>
    <n v="92.98"/>
    <n v="2"/>
    <n v="9.298"/>
    <n v="195.25800000000001"/>
    <d v="2019-02-13T00:00:00"/>
    <x v="379"/>
    <x v="2"/>
    <n v="185.96"/>
    <n v="4.7619047620000003"/>
    <n v="9.298"/>
    <n v="8"/>
    <n v="185.96"/>
    <x v="4"/>
    <n v="2"/>
    <x v="0"/>
  </r>
  <r>
    <s v="359-90-3665"/>
    <x v="2"/>
    <s v="Mandalay"/>
    <x v="0"/>
    <s v="Female"/>
    <x v="5"/>
    <n v="18.079999999999998"/>
    <n v="4"/>
    <n v="3.6160000000000001"/>
    <n v="75.936000000000007"/>
    <d v="2019-01-14T00:00:00"/>
    <x v="172"/>
    <x v="2"/>
    <n v="72.319999999999993"/>
    <n v="4.7619047620000003"/>
    <n v="3.6160000000000001"/>
    <n v="9.5"/>
    <n v="72.319999999999993"/>
    <x v="3"/>
    <n v="1"/>
    <x v="4"/>
  </r>
  <r>
    <s v="375-72-3056"/>
    <x v="2"/>
    <s v="Mandalay"/>
    <x v="1"/>
    <s v="Male"/>
    <x v="3"/>
    <n v="63.06"/>
    <n v="3"/>
    <n v="9.4589999999999996"/>
    <n v="198.63900000000001"/>
    <d v="2019-01-19T00:00:00"/>
    <x v="380"/>
    <x v="0"/>
    <n v="189.18"/>
    <n v="4.7619047620000003"/>
    <n v="9.4589999999999996"/>
    <n v="7"/>
    <n v="189.18"/>
    <x v="3"/>
    <n v="1"/>
    <x v="1"/>
  </r>
  <r>
    <s v="127-47-6963"/>
    <x v="0"/>
    <s v="Yangon"/>
    <x v="1"/>
    <s v="Male"/>
    <x v="0"/>
    <n v="51.71"/>
    <n v="4"/>
    <n v="10.342000000000001"/>
    <n v="217.18199999999999"/>
    <d v="2019-09-03T00:00:00"/>
    <x v="318"/>
    <x v="2"/>
    <n v="206.84"/>
    <n v="4.7619047620000003"/>
    <n v="10.342000000000001"/>
    <n v="9.8000000000000007"/>
    <n v="206.84"/>
    <x v="7"/>
    <n v="9"/>
    <x v="5"/>
  </r>
  <r>
    <s v="278-86-2735"/>
    <x v="0"/>
    <s v="Yangon"/>
    <x v="1"/>
    <s v="Female"/>
    <x v="4"/>
    <n v="52.34"/>
    <n v="3"/>
    <n v="7.851"/>
    <n v="164.87100000000001"/>
    <d v="2019-03-27T00:00:00"/>
    <x v="381"/>
    <x v="1"/>
    <n v="157.02000000000001"/>
    <n v="4.7619047620000003"/>
    <n v="7.851"/>
    <n v="9.1999999999999993"/>
    <n v="157.02000000000001"/>
    <x v="2"/>
    <n v="3"/>
    <x v="0"/>
  </r>
  <r>
    <s v="695-28-6250"/>
    <x v="0"/>
    <s v="Yangon"/>
    <x v="1"/>
    <s v="Female"/>
    <x v="3"/>
    <n v="43.06"/>
    <n v="5"/>
    <n v="10.765000000000001"/>
    <n v="226.065"/>
    <d v="2019-04-02T00:00:00"/>
    <x v="382"/>
    <x v="0"/>
    <n v="215.3"/>
    <n v="4.7619047620000003"/>
    <n v="10.765000000000001"/>
    <n v="7.7"/>
    <n v="215.3"/>
    <x v="11"/>
    <n v="4"/>
    <x v="5"/>
  </r>
  <r>
    <s v="379-17-6588"/>
    <x v="1"/>
    <s v="Naypyitaw"/>
    <x v="1"/>
    <s v="Male"/>
    <x v="5"/>
    <n v="59.61"/>
    <n v="10"/>
    <n v="29.805"/>
    <n v="625.90499999999997"/>
    <d v="2019-03-14T00:00:00"/>
    <x v="383"/>
    <x v="1"/>
    <n v="596.1"/>
    <n v="4.7619047620000003"/>
    <n v="29.805"/>
    <n v="5.3"/>
    <n v="596.1"/>
    <x v="2"/>
    <n v="3"/>
    <x v="6"/>
  </r>
  <r>
    <s v="227-50-3718"/>
    <x v="0"/>
    <s v="Yangon"/>
    <x v="1"/>
    <s v="Male"/>
    <x v="0"/>
    <n v="14.62"/>
    <n v="5"/>
    <n v="3.6549999999999998"/>
    <n v="76.754999999999995"/>
    <d v="2019-04-03T00:00:00"/>
    <x v="384"/>
    <x v="1"/>
    <n v="73.099999999999994"/>
    <n v="4.7619047620000003"/>
    <n v="3.6549999999999998"/>
    <n v="4.4000000000000004"/>
    <n v="73.099999999999994"/>
    <x v="11"/>
    <n v="4"/>
    <x v="0"/>
  </r>
  <r>
    <s v="302-15-2162"/>
    <x v="1"/>
    <s v="Naypyitaw"/>
    <x v="0"/>
    <s v="Male"/>
    <x v="0"/>
    <n v="46.53"/>
    <n v="6"/>
    <n v="13.959"/>
    <n v="293.13900000000001"/>
    <d v="2019-03-03T00:00:00"/>
    <x v="200"/>
    <x v="2"/>
    <n v="279.18"/>
    <n v="4.7619047620000003"/>
    <n v="13.959"/>
    <n v="4.3"/>
    <n v="279.18"/>
    <x v="2"/>
    <n v="3"/>
    <x v="2"/>
  </r>
  <r>
    <s v="788-07-8452"/>
    <x v="1"/>
    <s v="Naypyitaw"/>
    <x v="0"/>
    <s v="Female"/>
    <x v="2"/>
    <n v="24.24"/>
    <n v="7"/>
    <n v="8.484"/>
    <n v="178.16399999999999"/>
    <d v="2019-01-27T00:00:00"/>
    <x v="180"/>
    <x v="0"/>
    <n v="169.68"/>
    <n v="4.7619047620000003"/>
    <n v="8.484"/>
    <n v="9.4"/>
    <n v="169.67999999999998"/>
    <x v="3"/>
    <n v="1"/>
    <x v="2"/>
  </r>
  <r>
    <s v="560-49-6611"/>
    <x v="0"/>
    <s v="Yangon"/>
    <x v="0"/>
    <s v="Female"/>
    <x v="3"/>
    <n v="45.58"/>
    <n v="1"/>
    <n v="2.2789999999999999"/>
    <n v="47.859000000000002"/>
    <d v="2019-07-02T00:00:00"/>
    <x v="385"/>
    <x v="1"/>
    <n v="45.58"/>
    <n v="4.7619047620000003"/>
    <n v="2.2789999999999999"/>
    <n v="9.8000000000000007"/>
    <n v="45.58"/>
    <x v="9"/>
    <n v="7"/>
    <x v="5"/>
  </r>
  <r>
    <s v="880-35-0356"/>
    <x v="0"/>
    <s v="Yangon"/>
    <x v="0"/>
    <s v="Female"/>
    <x v="3"/>
    <n v="75.2"/>
    <n v="3"/>
    <n v="11.28"/>
    <n v="236.88"/>
    <d v="2019-05-02T00:00:00"/>
    <x v="159"/>
    <x v="0"/>
    <n v="225.6"/>
    <n v="4.7619047620000003"/>
    <n v="11.28"/>
    <n v="4.8"/>
    <n v="225.60000000000002"/>
    <x v="0"/>
    <n v="5"/>
    <x v="6"/>
  </r>
  <r>
    <s v="585-11-6748"/>
    <x v="2"/>
    <s v="Mandalay"/>
    <x v="0"/>
    <s v="Male"/>
    <x v="3"/>
    <n v="96.8"/>
    <n v="3"/>
    <n v="14.52"/>
    <n v="304.92"/>
    <d v="2019-03-15T00:00:00"/>
    <x v="137"/>
    <x v="1"/>
    <n v="290.39999999999998"/>
    <n v="4.7619047620000003"/>
    <n v="14.52"/>
    <n v="5.3"/>
    <n v="290.39999999999998"/>
    <x v="2"/>
    <n v="3"/>
    <x v="3"/>
  </r>
  <r>
    <s v="470-31-3286"/>
    <x v="2"/>
    <s v="Mandalay"/>
    <x v="1"/>
    <s v="Male"/>
    <x v="0"/>
    <n v="14.82"/>
    <n v="3"/>
    <n v="2.2229999999999999"/>
    <n v="46.683"/>
    <d v="2019-01-03T00:00:00"/>
    <x v="170"/>
    <x v="2"/>
    <n v="44.46"/>
    <n v="4.7619047620000003"/>
    <n v="2.2229999999999999"/>
    <n v="8.6999999999999993"/>
    <n v="44.46"/>
    <x v="3"/>
    <n v="1"/>
    <x v="6"/>
  </r>
  <r>
    <s v="152-68-2907"/>
    <x v="0"/>
    <s v="Yangon"/>
    <x v="1"/>
    <s v="Male"/>
    <x v="4"/>
    <n v="52.2"/>
    <n v="3"/>
    <n v="7.83"/>
    <n v="164.43"/>
    <d v="2019-02-15T00:00:00"/>
    <x v="241"/>
    <x v="2"/>
    <n v="156.6"/>
    <n v="4.7619047620000003"/>
    <n v="7.83"/>
    <n v="9.5"/>
    <n v="156.60000000000002"/>
    <x v="4"/>
    <n v="2"/>
    <x v="3"/>
  </r>
  <r>
    <s v="123-35-4896"/>
    <x v="1"/>
    <s v="Naypyitaw"/>
    <x v="1"/>
    <s v="Female"/>
    <x v="3"/>
    <n v="46.66"/>
    <n v="9"/>
    <n v="20.997"/>
    <n v="440.93700000000001"/>
    <d v="2019-02-17T00:00:00"/>
    <x v="386"/>
    <x v="0"/>
    <n v="419.94"/>
    <n v="4.7619047620000003"/>
    <n v="20.997"/>
    <n v="5.3"/>
    <n v="419.93999999999994"/>
    <x v="4"/>
    <n v="2"/>
    <x v="2"/>
  </r>
  <r>
    <s v="258-69-7810"/>
    <x v="1"/>
    <s v="Naypyitaw"/>
    <x v="1"/>
    <s v="Female"/>
    <x v="5"/>
    <n v="36.85"/>
    <n v="5"/>
    <n v="9.2125000000000004"/>
    <n v="193.46250000000001"/>
    <d v="2019-01-26T00:00:00"/>
    <x v="387"/>
    <x v="1"/>
    <n v="184.25"/>
    <n v="4.7619047620000003"/>
    <n v="9.2125000000000004"/>
    <n v="9.1999999999999993"/>
    <n v="184.25"/>
    <x v="3"/>
    <n v="1"/>
    <x v="1"/>
  </r>
  <r>
    <s v="334-64-2006"/>
    <x v="0"/>
    <s v="Yangon"/>
    <x v="0"/>
    <s v="Female"/>
    <x v="2"/>
    <n v="70.319999999999993"/>
    <n v="2"/>
    <n v="7.032"/>
    <n v="147.672"/>
    <d v="2019-03-24T00:00:00"/>
    <x v="388"/>
    <x v="0"/>
    <n v="140.63999999999999"/>
    <n v="4.7619047620000003"/>
    <n v="7.032"/>
    <n v="9.6"/>
    <n v="140.63999999999999"/>
    <x v="2"/>
    <n v="3"/>
    <x v="2"/>
  </r>
  <r>
    <s v="219-61-4139"/>
    <x v="1"/>
    <s v="Naypyitaw"/>
    <x v="1"/>
    <s v="Male"/>
    <x v="1"/>
    <n v="83.08"/>
    <n v="1"/>
    <n v="4.1539999999999999"/>
    <n v="87.233999999999995"/>
    <d v="2019-01-23T00:00:00"/>
    <x v="361"/>
    <x v="0"/>
    <n v="83.08"/>
    <n v="4.7619047620000003"/>
    <n v="4.1539999999999999"/>
    <n v="6.4"/>
    <n v="83.08"/>
    <x v="3"/>
    <n v="1"/>
    <x v="0"/>
  </r>
  <r>
    <s v="881-41-7302"/>
    <x v="1"/>
    <s v="Naypyitaw"/>
    <x v="1"/>
    <s v="Female"/>
    <x v="5"/>
    <n v="64.989999999999995"/>
    <n v="1"/>
    <n v="3.2494999999999998"/>
    <n v="68.239500000000007"/>
    <d v="2019-01-26T00:00:00"/>
    <x v="389"/>
    <x v="2"/>
    <n v="64.989999999999995"/>
    <n v="4.7619047620000003"/>
    <n v="3.2494999999999998"/>
    <n v="4.5"/>
    <n v="64.989999999999995"/>
    <x v="3"/>
    <n v="1"/>
    <x v="1"/>
  </r>
  <r>
    <s v="373-09-4567"/>
    <x v="1"/>
    <s v="Naypyitaw"/>
    <x v="1"/>
    <s v="Male"/>
    <x v="4"/>
    <n v="77.56"/>
    <n v="10"/>
    <n v="38.78"/>
    <n v="814.38"/>
    <d v="2019-03-14T00:00:00"/>
    <x v="82"/>
    <x v="0"/>
    <n v="775.6"/>
    <n v="4.7619047620000003"/>
    <n v="38.78"/>
    <n v="6.9"/>
    <n v="775.6"/>
    <x v="2"/>
    <n v="3"/>
    <x v="6"/>
  </r>
  <r>
    <s v="642-30-6693"/>
    <x v="2"/>
    <s v="Mandalay"/>
    <x v="1"/>
    <s v="Female"/>
    <x v="3"/>
    <n v="54.51"/>
    <n v="6"/>
    <n v="16.353000000000002"/>
    <n v="343.41300000000001"/>
    <d v="2019-03-17T00:00:00"/>
    <x v="376"/>
    <x v="0"/>
    <n v="327.06"/>
    <n v="4.7619047620000003"/>
    <n v="16.353000000000002"/>
    <n v="7.8"/>
    <n v="327.06"/>
    <x v="2"/>
    <n v="3"/>
    <x v="2"/>
  </r>
  <r>
    <s v="484-22-8230"/>
    <x v="1"/>
    <s v="Naypyitaw"/>
    <x v="0"/>
    <s v="Female"/>
    <x v="5"/>
    <n v="51.89"/>
    <n v="7"/>
    <n v="18.1615"/>
    <n v="381.39150000000001"/>
    <d v="2019-08-01T00:00:00"/>
    <x v="390"/>
    <x v="1"/>
    <n v="363.23"/>
    <n v="4.7619047620000003"/>
    <n v="18.1615"/>
    <n v="4.5"/>
    <n v="363.23"/>
    <x v="1"/>
    <n v="8"/>
    <x v="6"/>
  </r>
  <r>
    <s v="830-58-2383"/>
    <x v="2"/>
    <s v="Mandalay"/>
    <x v="1"/>
    <s v="Male"/>
    <x v="2"/>
    <n v="31.75"/>
    <n v="4"/>
    <n v="6.35"/>
    <n v="133.35"/>
    <d v="2019-08-02T00:00:00"/>
    <x v="108"/>
    <x v="1"/>
    <n v="127"/>
    <n v="4.7619047620000003"/>
    <n v="6.35"/>
    <n v="8.6"/>
    <n v="127"/>
    <x v="1"/>
    <n v="8"/>
    <x v="3"/>
  </r>
  <r>
    <s v="559-98-9873"/>
    <x v="0"/>
    <s v="Yangon"/>
    <x v="0"/>
    <s v="Female"/>
    <x v="5"/>
    <n v="53.65"/>
    <n v="7"/>
    <n v="18.7775"/>
    <n v="394.32749999999999"/>
    <d v="2019-10-02T00:00:00"/>
    <x v="391"/>
    <x v="0"/>
    <n v="375.55"/>
    <n v="4.7619047620000003"/>
    <n v="18.7775"/>
    <n v="5.2"/>
    <n v="375.55"/>
    <x v="5"/>
    <n v="10"/>
    <x v="0"/>
  </r>
  <r>
    <s v="544-32-5024"/>
    <x v="1"/>
    <s v="Naypyitaw"/>
    <x v="0"/>
    <s v="Female"/>
    <x v="4"/>
    <n v="49.79"/>
    <n v="4"/>
    <n v="9.9580000000000002"/>
    <n v="209.11799999999999"/>
    <d v="2019-03-28T00:00:00"/>
    <x v="156"/>
    <x v="2"/>
    <n v="199.16"/>
    <n v="4.7619047620000003"/>
    <n v="9.9580000000000002"/>
    <n v="6.4"/>
    <n v="199.16"/>
    <x v="2"/>
    <n v="3"/>
    <x v="6"/>
  </r>
  <r>
    <s v="318-12-0304"/>
    <x v="0"/>
    <s v="Yangon"/>
    <x v="1"/>
    <s v="Male"/>
    <x v="5"/>
    <n v="30.61"/>
    <n v="1"/>
    <n v="1.5305"/>
    <n v="32.140500000000003"/>
    <d v="2019-01-23T00:00:00"/>
    <x v="22"/>
    <x v="0"/>
    <n v="30.61"/>
    <n v="4.7619047620000003"/>
    <n v="1.5305"/>
    <n v="5.2"/>
    <n v="30.61"/>
    <x v="3"/>
    <n v="1"/>
    <x v="0"/>
  </r>
  <r>
    <s v="349-97-8902"/>
    <x v="2"/>
    <s v="Mandalay"/>
    <x v="0"/>
    <s v="Male"/>
    <x v="4"/>
    <n v="57.89"/>
    <n v="2"/>
    <n v="5.7889999999999997"/>
    <n v="121.569"/>
    <d v="2019-01-17T00:00:00"/>
    <x v="4"/>
    <x v="0"/>
    <n v="115.78"/>
    <n v="4.7619047620000003"/>
    <n v="5.7889999999999997"/>
    <n v="8.9"/>
    <n v="115.78"/>
    <x v="3"/>
    <n v="1"/>
    <x v="6"/>
  </r>
  <r>
    <s v="421-95-9805"/>
    <x v="0"/>
    <s v="Yangon"/>
    <x v="1"/>
    <s v="Female"/>
    <x v="1"/>
    <n v="28.96"/>
    <n v="1"/>
    <n v="1.448"/>
    <n v="30.408000000000001"/>
    <d v="2019-07-02T00:00:00"/>
    <x v="392"/>
    <x v="2"/>
    <n v="28.96"/>
    <n v="4.7619047620000003"/>
    <n v="1.448"/>
    <n v="6.2"/>
    <n v="28.96"/>
    <x v="9"/>
    <n v="7"/>
    <x v="5"/>
  </r>
  <r>
    <s v="277-35-5865"/>
    <x v="1"/>
    <s v="Naypyitaw"/>
    <x v="0"/>
    <s v="Female"/>
    <x v="4"/>
    <n v="98.97"/>
    <n v="9"/>
    <n v="44.536499999999997"/>
    <n v="935.26649999999995"/>
    <d v="2019-09-03T00:00:00"/>
    <x v="219"/>
    <x v="1"/>
    <n v="890.73"/>
    <n v="4.7619047620000003"/>
    <n v="44.536499999999997"/>
    <n v="6.7"/>
    <n v="890.73"/>
    <x v="7"/>
    <n v="9"/>
    <x v="5"/>
  </r>
  <r>
    <s v="789-23-8625"/>
    <x v="2"/>
    <s v="Mandalay"/>
    <x v="0"/>
    <s v="Male"/>
    <x v="5"/>
    <n v="93.22"/>
    <n v="3"/>
    <n v="13.983000000000001"/>
    <n v="293.64299999999997"/>
    <d v="2019-01-24T00:00:00"/>
    <x v="393"/>
    <x v="1"/>
    <n v="279.66000000000003"/>
    <n v="4.7619047620000003"/>
    <n v="13.983000000000001"/>
    <n v="7.2"/>
    <n v="279.65999999999997"/>
    <x v="3"/>
    <n v="1"/>
    <x v="6"/>
  </r>
  <r>
    <s v="284-54-4231"/>
    <x v="1"/>
    <s v="Naypyitaw"/>
    <x v="0"/>
    <s v="Male"/>
    <x v="3"/>
    <n v="80.930000000000007"/>
    <n v="1"/>
    <n v="4.0465"/>
    <n v="84.976500000000001"/>
    <d v="2019-01-19T00:00:00"/>
    <x v="394"/>
    <x v="2"/>
    <n v="80.930000000000007"/>
    <n v="4.7619047620000003"/>
    <n v="4.0465"/>
    <n v="9"/>
    <n v="80.930000000000007"/>
    <x v="3"/>
    <n v="1"/>
    <x v="1"/>
  </r>
  <r>
    <s v="443-59-0061"/>
    <x v="0"/>
    <s v="Yangon"/>
    <x v="0"/>
    <s v="Male"/>
    <x v="4"/>
    <n v="67.45"/>
    <n v="10"/>
    <n v="33.725000000000001"/>
    <n v="708.22500000000002"/>
    <d v="2019-03-02T00:00:00"/>
    <x v="210"/>
    <x v="0"/>
    <n v="674.5"/>
    <n v="4.7619047620000003"/>
    <n v="33.725000000000001"/>
    <n v="4.2"/>
    <n v="674.5"/>
    <x v="2"/>
    <n v="3"/>
    <x v="1"/>
  </r>
  <r>
    <s v="509-29-3912"/>
    <x v="0"/>
    <s v="Yangon"/>
    <x v="0"/>
    <s v="Female"/>
    <x v="3"/>
    <n v="38.72"/>
    <n v="9"/>
    <n v="17.423999999999999"/>
    <n v="365.904"/>
    <d v="2019-03-20T00:00:00"/>
    <x v="395"/>
    <x v="0"/>
    <n v="348.48"/>
    <n v="4.7619047620000003"/>
    <n v="17.423999999999999"/>
    <n v="4.2"/>
    <n v="348.48"/>
    <x v="2"/>
    <n v="3"/>
    <x v="0"/>
  </r>
  <r>
    <s v="327-40-9673"/>
    <x v="2"/>
    <s v="Mandalay"/>
    <x v="0"/>
    <s v="Male"/>
    <x v="3"/>
    <n v="72.599999999999994"/>
    <n v="6"/>
    <n v="21.78"/>
    <n v="457.38"/>
    <d v="2019-01-13T00:00:00"/>
    <x v="396"/>
    <x v="1"/>
    <n v="435.6"/>
    <n v="4.7619047620000003"/>
    <n v="21.78"/>
    <n v="6.9"/>
    <n v="435.59999999999997"/>
    <x v="3"/>
    <n v="1"/>
    <x v="2"/>
  </r>
  <r>
    <s v="840-19-2096"/>
    <x v="1"/>
    <s v="Naypyitaw"/>
    <x v="0"/>
    <s v="Male"/>
    <x v="1"/>
    <n v="87.91"/>
    <n v="5"/>
    <n v="21.977499999999999"/>
    <n v="461.52749999999997"/>
    <d v="2019-03-14T00:00:00"/>
    <x v="397"/>
    <x v="0"/>
    <n v="439.55"/>
    <n v="4.7619047620000003"/>
    <n v="21.977499999999999"/>
    <n v="4.4000000000000004"/>
    <n v="439.54999999999995"/>
    <x v="2"/>
    <n v="3"/>
    <x v="6"/>
  </r>
  <r>
    <s v="828-46-6863"/>
    <x v="0"/>
    <s v="Yangon"/>
    <x v="0"/>
    <s v="Male"/>
    <x v="4"/>
    <n v="98.53"/>
    <n v="6"/>
    <n v="29.559000000000001"/>
    <n v="620.73900000000003"/>
    <d v="2019-01-23T00:00:00"/>
    <x v="218"/>
    <x v="2"/>
    <n v="591.17999999999995"/>
    <n v="4.7619047620000003"/>
    <n v="29.559000000000001"/>
    <n v="4"/>
    <n v="591.18000000000006"/>
    <x v="3"/>
    <n v="1"/>
    <x v="0"/>
  </r>
  <r>
    <s v="641-96-3695"/>
    <x v="1"/>
    <s v="Naypyitaw"/>
    <x v="0"/>
    <s v="Female"/>
    <x v="5"/>
    <n v="43.46"/>
    <n v="6"/>
    <n v="13.038"/>
    <n v="273.798"/>
    <d v="2019-07-02T00:00:00"/>
    <x v="84"/>
    <x v="0"/>
    <n v="260.76"/>
    <n v="4.7619047620000003"/>
    <n v="13.038"/>
    <n v="8.5"/>
    <n v="260.76"/>
    <x v="9"/>
    <n v="7"/>
    <x v="5"/>
  </r>
  <r>
    <s v="420-97-3340"/>
    <x v="0"/>
    <s v="Yangon"/>
    <x v="1"/>
    <s v="Female"/>
    <x v="4"/>
    <n v="71.680000000000007"/>
    <n v="3"/>
    <n v="10.752000000000001"/>
    <n v="225.792"/>
    <d v="2019-03-28T00:00:00"/>
    <x v="19"/>
    <x v="2"/>
    <n v="215.04"/>
    <n v="4.7619047620000003"/>
    <n v="10.752000000000001"/>
    <n v="9.1999999999999993"/>
    <n v="215.04000000000002"/>
    <x v="2"/>
    <n v="3"/>
    <x v="6"/>
  </r>
  <r>
    <s v="436-54-4512"/>
    <x v="0"/>
    <s v="Yangon"/>
    <x v="0"/>
    <s v="Female"/>
    <x v="4"/>
    <n v="91.61"/>
    <n v="1"/>
    <n v="4.5804999999999998"/>
    <n v="96.1905"/>
    <d v="2019-03-20T00:00:00"/>
    <x v="143"/>
    <x v="1"/>
    <n v="91.61"/>
    <n v="4.7619047620000003"/>
    <n v="4.5804999999999998"/>
    <n v="9.8000000000000007"/>
    <n v="91.61"/>
    <x v="2"/>
    <n v="3"/>
    <x v="0"/>
  </r>
  <r>
    <s v="670-79-6321"/>
    <x v="2"/>
    <s v="Mandalay"/>
    <x v="0"/>
    <s v="Female"/>
    <x v="2"/>
    <n v="94.59"/>
    <n v="7"/>
    <n v="33.106499999999997"/>
    <n v="695.23649999999998"/>
    <d v="2019-01-17T00:00:00"/>
    <x v="398"/>
    <x v="2"/>
    <n v="662.13"/>
    <n v="4.7619047620000003"/>
    <n v="33.106499999999997"/>
    <n v="4.9000000000000004"/>
    <n v="662.13"/>
    <x v="3"/>
    <n v="1"/>
    <x v="6"/>
  </r>
  <r>
    <s v="852-62-7105"/>
    <x v="2"/>
    <s v="Mandalay"/>
    <x v="1"/>
    <s v="Female"/>
    <x v="5"/>
    <n v="83.25"/>
    <n v="10"/>
    <n v="41.625"/>
    <n v="874.125"/>
    <d v="2019-12-01T00:00:00"/>
    <x v="210"/>
    <x v="2"/>
    <n v="832.5"/>
    <n v="4.7619047620000003"/>
    <n v="41.625"/>
    <n v="4.4000000000000004"/>
    <n v="832.5"/>
    <x v="8"/>
    <n v="12"/>
    <x v="2"/>
  </r>
  <r>
    <s v="598-06-7312"/>
    <x v="2"/>
    <s v="Mandalay"/>
    <x v="0"/>
    <s v="Male"/>
    <x v="5"/>
    <n v="91.35"/>
    <n v="1"/>
    <n v="4.5674999999999999"/>
    <n v="95.917500000000004"/>
    <d v="2019-02-16T00:00:00"/>
    <x v="324"/>
    <x v="1"/>
    <n v="91.35"/>
    <n v="4.7619047620000003"/>
    <n v="4.5674999999999999"/>
    <n v="6.8"/>
    <n v="91.35"/>
    <x v="4"/>
    <n v="2"/>
    <x v="1"/>
  </r>
  <r>
    <s v="135-13-8269"/>
    <x v="2"/>
    <s v="Mandalay"/>
    <x v="0"/>
    <s v="Female"/>
    <x v="4"/>
    <n v="78.88"/>
    <n v="2"/>
    <n v="7.8879999999999999"/>
    <n v="165.648"/>
    <d v="2019-01-26T00:00:00"/>
    <x v="399"/>
    <x v="1"/>
    <n v="157.76"/>
    <n v="4.7619047620000003"/>
    <n v="7.8879999999999999"/>
    <n v="9.1"/>
    <n v="157.76"/>
    <x v="3"/>
    <n v="1"/>
    <x v="1"/>
  </r>
  <r>
    <s v="816-57-2053"/>
    <x v="0"/>
    <s v="Yangon"/>
    <x v="1"/>
    <s v="Male"/>
    <x v="3"/>
    <n v="60.87"/>
    <n v="2"/>
    <n v="6.0869999999999997"/>
    <n v="127.827"/>
    <d v="2019-09-03T00:00:00"/>
    <x v="378"/>
    <x v="0"/>
    <n v="121.74"/>
    <n v="4.7619047620000003"/>
    <n v="6.0869999999999997"/>
    <n v="8.6999999999999993"/>
    <n v="121.74"/>
    <x v="7"/>
    <n v="9"/>
    <x v="5"/>
  </r>
  <r>
    <s v="628-90-8624"/>
    <x v="2"/>
    <s v="Mandalay"/>
    <x v="0"/>
    <s v="Male"/>
    <x v="0"/>
    <n v="82.58"/>
    <n v="10"/>
    <n v="41.29"/>
    <n v="867.09"/>
    <d v="2019-03-14T00:00:00"/>
    <x v="400"/>
    <x v="1"/>
    <n v="825.8"/>
    <n v="4.7619047620000003"/>
    <n v="41.29"/>
    <n v="5"/>
    <n v="825.8"/>
    <x v="2"/>
    <n v="3"/>
    <x v="6"/>
  </r>
  <r>
    <s v="856-66-2701"/>
    <x v="0"/>
    <s v="Yangon"/>
    <x v="0"/>
    <s v="Male"/>
    <x v="2"/>
    <n v="53.3"/>
    <n v="3"/>
    <n v="7.9950000000000001"/>
    <n v="167.89500000000001"/>
    <d v="2019-01-25T00:00:00"/>
    <x v="401"/>
    <x v="0"/>
    <n v="159.9"/>
    <n v="4.7619047620000003"/>
    <n v="7.9950000000000001"/>
    <n v="7.5"/>
    <n v="159.89999999999998"/>
    <x v="3"/>
    <n v="1"/>
    <x v="3"/>
  </r>
  <r>
    <s v="308-39-1707"/>
    <x v="0"/>
    <s v="Yangon"/>
    <x v="1"/>
    <s v="Female"/>
    <x v="5"/>
    <n v="12.09"/>
    <n v="1"/>
    <n v="0.60450000000000004"/>
    <n v="12.6945"/>
    <d v="2019-01-26T00:00:00"/>
    <x v="96"/>
    <x v="2"/>
    <n v="12.09"/>
    <n v="4.7619047620000003"/>
    <n v="0.60450000000000004"/>
    <n v="8.1999999999999993"/>
    <n v="12.09"/>
    <x v="3"/>
    <n v="1"/>
    <x v="1"/>
  </r>
  <r>
    <s v="149-61-1929"/>
    <x v="0"/>
    <s v="Yangon"/>
    <x v="1"/>
    <s v="Male"/>
    <x v="3"/>
    <n v="64.19"/>
    <n v="10"/>
    <n v="32.094999999999999"/>
    <n v="673.995"/>
    <d v="2019-01-19T00:00:00"/>
    <x v="402"/>
    <x v="2"/>
    <n v="641.9"/>
    <n v="4.7619047620000003"/>
    <n v="32.094999999999999"/>
    <n v="6.7"/>
    <n v="641.9"/>
    <x v="3"/>
    <n v="1"/>
    <x v="1"/>
  </r>
  <r>
    <s v="655-07-2265"/>
    <x v="0"/>
    <s v="Yangon"/>
    <x v="1"/>
    <s v="Male"/>
    <x v="1"/>
    <n v="78.31"/>
    <n v="3"/>
    <n v="11.746499999999999"/>
    <n v="246.6765"/>
    <d v="2019-05-03T00:00:00"/>
    <x v="382"/>
    <x v="0"/>
    <n v="234.93"/>
    <n v="4.7619047620000003"/>
    <n v="11.746499999999999"/>
    <n v="5.4"/>
    <n v="234.93"/>
    <x v="0"/>
    <n v="5"/>
    <x v="3"/>
  </r>
  <r>
    <s v="589-02-8023"/>
    <x v="0"/>
    <s v="Yangon"/>
    <x v="0"/>
    <s v="Male"/>
    <x v="4"/>
    <n v="83.77"/>
    <n v="2"/>
    <n v="8.3770000000000007"/>
    <n v="175.917"/>
    <d v="2019-01-15T00:00:00"/>
    <x v="200"/>
    <x v="2"/>
    <n v="167.54"/>
    <n v="4.7619047620000003"/>
    <n v="8.3770000000000007"/>
    <n v="7"/>
    <n v="167.54"/>
    <x v="3"/>
    <n v="1"/>
    <x v="5"/>
  </r>
  <r>
    <s v="420-04-7590"/>
    <x v="2"/>
    <s v="Mandalay"/>
    <x v="1"/>
    <s v="Male"/>
    <x v="2"/>
    <n v="99.7"/>
    <n v="3"/>
    <n v="14.955"/>
    <n v="314.05500000000001"/>
    <d v="2019-03-18T00:00:00"/>
    <x v="403"/>
    <x v="0"/>
    <n v="299.10000000000002"/>
    <n v="4.7619047620000003"/>
    <n v="14.955"/>
    <n v="4.7"/>
    <n v="299.10000000000002"/>
    <x v="2"/>
    <n v="3"/>
    <x v="4"/>
  </r>
  <r>
    <s v="182-88-2763"/>
    <x v="2"/>
    <s v="Mandalay"/>
    <x v="0"/>
    <s v="Male"/>
    <x v="4"/>
    <n v="79.91"/>
    <n v="3"/>
    <n v="11.986499999999999"/>
    <n v="251.7165"/>
    <d v="2019-03-20T00:00:00"/>
    <x v="198"/>
    <x v="2"/>
    <n v="239.73"/>
    <n v="4.7619047620000003"/>
    <n v="11.986499999999999"/>
    <n v="5"/>
    <n v="239.73"/>
    <x v="2"/>
    <n v="3"/>
    <x v="0"/>
  </r>
  <r>
    <s v="188-55-0967"/>
    <x v="2"/>
    <s v="Mandalay"/>
    <x v="0"/>
    <s v="Male"/>
    <x v="0"/>
    <n v="66.47"/>
    <n v="10"/>
    <n v="33.234999999999999"/>
    <n v="697.93499999999995"/>
    <d v="2019-01-15T00:00:00"/>
    <x v="66"/>
    <x v="2"/>
    <n v="664.7"/>
    <n v="4.7619047620000003"/>
    <n v="33.234999999999999"/>
    <n v="5"/>
    <n v="664.7"/>
    <x v="3"/>
    <n v="1"/>
    <x v="5"/>
  </r>
  <r>
    <s v="610-46-4100"/>
    <x v="0"/>
    <s v="Yangon"/>
    <x v="1"/>
    <s v="Male"/>
    <x v="0"/>
    <n v="28.95"/>
    <n v="7"/>
    <n v="10.1325"/>
    <n v="212.7825"/>
    <d v="2019-03-03T00:00:00"/>
    <x v="106"/>
    <x v="2"/>
    <n v="202.65"/>
    <n v="4.7619047620000003"/>
    <n v="10.1325"/>
    <n v="6"/>
    <n v="202.65"/>
    <x v="2"/>
    <n v="3"/>
    <x v="2"/>
  </r>
  <r>
    <s v="318-81-2368"/>
    <x v="1"/>
    <s v="Naypyitaw"/>
    <x v="1"/>
    <s v="Female"/>
    <x v="1"/>
    <n v="46.2"/>
    <n v="1"/>
    <n v="2.31"/>
    <n v="48.51"/>
    <d v="2019-03-19T00:00:00"/>
    <x v="404"/>
    <x v="1"/>
    <n v="46.2"/>
    <n v="4.7619047620000003"/>
    <n v="2.31"/>
    <n v="6.3"/>
    <n v="46.2"/>
    <x v="2"/>
    <n v="3"/>
    <x v="5"/>
  </r>
  <r>
    <s v="364-33-8584"/>
    <x v="2"/>
    <s v="Mandalay"/>
    <x v="0"/>
    <s v="Female"/>
    <x v="4"/>
    <n v="17.63"/>
    <n v="5"/>
    <n v="4.4074999999999998"/>
    <n v="92.557500000000005"/>
    <d v="2019-08-03T00:00:00"/>
    <x v="398"/>
    <x v="1"/>
    <n v="88.15"/>
    <n v="4.7619047620000003"/>
    <n v="4.4074999999999998"/>
    <n v="8.5"/>
    <n v="88.149999999999991"/>
    <x v="1"/>
    <n v="8"/>
    <x v="1"/>
  </r>
  <r>
    <s v="665-63-9737"/>
    <x v="2"/>
    <s v="Mandalay"/>
    <x v="1"/>
    <s v="Male"/>
    <x v="5"/>
    <n v="52.42"/>
    <n v="3"/>
    <n v="7.8630000000000004"/>
    <n v="165.12299999999999"/>
    <d v="2019-02-27T00:00:00"/>
    <x v="24"/>
    <x v="0"/>
    <n v="157.26"/>
    <n v="4.7619047620000003"/>
    <n v="7.8630000000000004"/>
    <n v="7.5"/>
    <n v="157.26"/>
    <x v="4"/>
    <n v="2"/>
    <x v="0"/>
  </r>
  <r>
    <s v="695-09-5146"/>
    <x v="2"/>
    <s v="Mandalay"/>
    <x v="0"/>
    <s v="Female"/>
    <x v="4"/>
    <n v="98.79"/>
    <n v="3"/>
    <n v="14.8185"/>
    <n v="311.18849999999998"/>
    <d v="2019-02-23T00:00:00"/>
    <x v="405"/>
    <x v="0"/>
    <n v="296.37"/>
    <n v="4.7619047620000003"/>
    <n v="14.8185"/>
    <n v="6.4"/>
    <n v="296.37"/>
    <x v="4"/>
    <n v="2"/>
    <x v="1"/>
  </r>
  <r>
    <s v="155-45-3814"/>
    <x v="1"/>
    <s v="Naypyitaw"/>
    <x v="0"/>
    <s v="Female"/>
    <x v="1"/>
    <n v="88.55"/>
    <n v="8"/>
    <n v="35.42"/>
    <n v="743.82"/>
    <d v="2019-03-19T00:00:00"/>
    <x v="406"/>
    <x v="0"/>
    <n v="708.4"/>
    <n v="4.7619047620000003"/>
    <n v="35.42"/>
    <n v="4.7"/>
    <n v="708.4"/>
    <x v="2"/>
    <n v="3"/>
    <x v="5"/>
  </r>
  <r>
    <s v="794-32-2436"/>
    <x v="2"/>
    <s v="Mandalay"/>
    <x v="0"/>
    <s v="Male"/>
    <x v="1"/>
    <n v="55.67"/>
    <n v="2"/>
    <n v="5.5670000000000002"/>
    <n v="116.907"/>
    <d v="2019-03-27T00:00:00"/>
    <x v="264"/>
    <x v="0"/>
    <n v="111.34"/>
    <n v="4.7619047620000003"/>
    <n v="5.5670000000000002"/>
    <n v="6"/>
    <n v="111.34"/>
    <x v="2"/>
    <n v="3"/>
    <x v="0"/>
  </r>
  <r>
    <s v="131-15-8856"/>
    <x v="1"/>
    <s v="Naypyitaw"/>
    <x v="0"/>
    <s v="Female"/>
    <x v="4"/>
    <n v="72.52"/>
    <n v="8"/>
    <n v="29.007999999999999"/>
    <n v="609.16800000000001"/>
    <d v="2019-03-30T00:00:00"/>
    <x v="206"/>
    <x v="2"/>
    <n v="580.16"/>
    <n v="4.7619047620000003"/>
    <n v="29.007999999999999"/>
    <n v="4"/>
    <n v="580.16"/>
    <x v="2"/>
    <n v="3"/>
    <x v="1"/>
  </r>
  <r>
    <s v="273-84-2164"/>
    <x v="1"/>
    <s v="Naypyitaw"/>
    <x v="0"/>
    <s v="Male"/>
    <x v="1"/>
    <n v="12.05"/>
    <n v="5"/>
    <n v="3.0125000000000002"/>
    <n v="63.262500000000003"/>
    <d v="2019-02-16T00:00:00"/>
    <x v="183"/>
    <x v="0"/>
    <n v="60.25"/>
    <n v="4.7619047620000003"/>
    <n v="3.0125000000000002"/>
    <n v="5.5"/>
    <n v="60.25"/>
    <x v="4"/>
    <n v="2"/>
    <x v="1"/>
  </r>
  <r>
    <s v="706-36-6154"/>
    <x v="0"/>
    <s v="Yangon"/>
    <x v="0"/>
    <s v="Male"/>
    <x v="2"/>
    <n v="19.36"/>
    <n v="9"/>
    <n v="8.7119999999999997"/>
    <n v="182.952"/>
    <d v="2019-01-18T00:00:00"/>
    <x v="362"/>
    <x v="0"/>
    <n v="174.24"/>
    <n v="4.7619047620000003"/>
    <n v="8.7119999999999997"/>
    <n v="8.6999999999999993"/>
    <n v="174.24"/>
    <x v="3"/>
    <n v="1"/>
    <x v="3"/>
  </r>
  <r>
    <s v="778-89-7974"/>
    <x v="1"/>
    <s v="Naypyitaw"/>
    <x v="1"/>
    <s v="Male"/>
    <x v="0"/>
    <n v="70.209999999999994"/>
    <n v="6"/>
    <n v="21.062999999999999"/>
    <n v="442.32299999999998"/>
    <d v="2019-03-30T00:00:00"/>
    <x v="407"/>
    <x v="1"/>
    <n v="421.26"/>
    <n v="4.7619047620000003"/>
    <n v="21.062999999999999"/>
    <n v="7.4"/>
    <n v="421.26"/>
    <x v="2"/>
    <n v="3"/>
    <x v="1"/>
  </r>
  <r>
    <s v="574-31-8277"/>
    <x v="2"/>
    <s v="Mandalay"/>
    <x v="0"/>
    <s v="Male"/>
    <x v="5"/>
    <n v="33.630000000000003"/>
    <n v="1"/>
    <n v="1.6815"/>
    <n v="35.311500000000002"/>
    <d v="2019-03-20T00:00:00"/>
    <x v="374"/>
    <x v="1"/>
    <n v="33.630000000000003"/>
    <n v="4.7619047620000003"/>
    <n v="1.6815"/>
    <n v="5.6"/>
    <n v="33.630000000000003"/>
    <x v="2"/>
    <n v="3"/>
    <x v="0"/>
  </r>
  <r>
    <s v="859-71-0933"/>
    <x v="1"/>
    <s v="Naypyitaw"/>
    <x v="0"/>
    <s v="Female"/>
    <x v="3"/>
    <n v="15.49"/>
    <n v="2"/>
    <n v="1.5489999999999999"/>
    <n v="32.529000000000003"/>
    <d v="2019-01-16T00:00:00"/>
    <x v="50"/>
    <x v="1"/>
    <n v="30.98"/>
    <n v="4.7619047620000003"/>
    <n v="1.5489999999999999"/>
    <n v="6.3"/>
    <n v="30.98"/>
    <x v="3"/>
    <n v="1"/>
    <x v="0"/>
  </r>
  <r>
    <s v="740-11-5257"/>
    <x v="1"/>
    <s v="Naypyitaw"/>
    <x v="1"/>
    <s v="Male"/>
    <x v="1"/>
    <n v="24.74"/>
    <n v="10"/>
    <n v="12.37"/>
    <n v="259.77"/>
    <d v="2019-02-24T00:00:00"/>
    <x v="95"/>
    <x v="1"/>
    <n v="247.4"/>
    <n v="4.7619047620000003"/>
    <n v="12.37"/>
    <n v="7.1"/>
    <n v="247.39999999999998"/>
    <x v="4"/>
    <n v="2"/>
    <x v="2"/>
  </r>
  <r>
    <s v="369-82-2676"/>
    <x v="2"/>
    <s v="Mandalay"/>
    <x v="1"/>
    <s v="Male"/>
    <x v="1"/>
    <n v="75.66"/>
    <n v="5"/>
    <n v="18.914999999999999"/>
    <n v="397.21499999999997"/>
    <d v="2019-01-15T00:00:00"/>
    <x v="282"/>
    <x v="0"/>
    <n v="378.3"/>
    <n v="4.7619047620000003"/>
    <n v="18.914999999999999"/>
    <n v="7.8"/>
    <n v="378.29999999999995"/>
    <x v="3"/>
    <n v="1"/>
    <x v="5"/>
  </r>
  <r>
    <s v="563-47-4072"/>
    <x v="2"/>
    <s v="Mandalay"/>
    <x v="1"/>
    <s v="Female"/>
    <x v="0"/>
    <n v="55.81"/>
    <n v="6"/>
    <n v="16.742999999999999"/>
    <n v="351.60300000000001"/>
    <d v="2019-01-22T00:00:00"/>
    <x v="408"/>
    <x v="1"/>
    <n v="334.86"/>
    <n v="4.7619047620000003"/>
    <n v="16.742999999999999"/>
    <n v="9.9"/>
    <n v="334.86"/>
    <x v="3"/>
    <n v="1"/>
    <x v="5"/>
  </r>
  <r>
    <s v="742-04-5161"/>
    <x v="0"/>
    <s v="Yangon"/>
    <x v="0"/>
    <s v="Male"/>
    <x v="2"/>
    <n v="72.78"/>
    <n v="10"/>
    <n v="36.39"/>
    <n v="764.19"/>
    <d v="2019-03-02T00:00:00"/>
    <x v="45"/>
    <x v="1"/>
    <n v="727.8"/>
    <n v="4.7619047620000003"/>
    <n v="36.39"/>
    <n v="7.3"/>
    <n v="727.8"/>
    <x v="2"/>
    <n v="3"/>
    <x v="1"/>
  </r>
  <r>
    <s v="149-15-7606"/>
    <x v="2"/>
    <s v="Mandalay"/>
    <x v="0"/>
    <s v="Male"/>
    <x v="3"/>
    <n v="37.32"/>
    <n v="9"/>
    <n v="16.794"/>
    <n v="352.67399999999998"/>
    <d v="2019-06-03T00:00:00"/>
    <x v="26"/>
    <x v="0"/>
    <n v="335.88"/>
    <n v="4.7619047620000003"/>
    <n v="16.794"/>
    <n v="5.0999999999999996"/>
    <n v="335.88"/>
    <x v="6"/>
    <n v="6"/>
    <x v="4"/>
  </r>
  <r>
    <s v="133-77-3154"/>
    <x v="2"/>
    <s v="Mandalay"/>
    <x v="0"/>
    <s v="Male"/>
    <x v="5"/>
    <n v="60.18"/>
    <n v="4"/>
    <n v="12.036"/>
    <n v="252.756"/>
    <d v="2019-02-16T00:00:00"/>
    <x v="358"/>
    <x v="2"/>
    <n v="240.72"/>
    <n v="4.7619047620000003"/>
    <n v="12.036"/>
    <n v="9.4"/>
    <n v="240.72"/>
    <x v="4"/>
    <n v="2"/>
    <x v="1"/>
  </r>
  <r>
    <s v="169-52-4504"/>
    <x v="0"/>
    <s v="Yangon"/>
    <x v="1"/>
    <s v="Female"/>
    <x v="1"/>
    <n v="15.69"/>
    <n v="3"/>
    <n v="2.3534999999999999"/>
    <n v="49.423499999999997"/>
    <d v="2019-03-14T00:00:00"/>
    <x v="385"/>
    <x v="2"/>
    <n v="47.07"/>
    <n v="4.7619047620000003"/>
    <n v="2.3534999999999999"/>
    <n v="5.8"/>
    <n v="47.07"/>
    <x v="2"/>
    <n v="3"/>
    <x v="6"/>
  </r>
  <r>
    <s v="250-81-7186"/>
    <x v="1"/>
    <s v="Naypyitaw"/>
    <x v="1"/>
    <s v="Female"/>
    <x v="1"/>
    <n v="99.69"/>
    <n v="1"/>
    <n v="4.9844999999999997"/>
    <n v="104.67449999999999"/>
    <d v="2019-02-27T00:00:00"/>
    <x v="81"/>
    <x v="2"/>
    <n v="99.69"/>
    <n v="4.7619047620000003"/>
    <n v="4.9844999999999997"/>
    <n v="8"/>
    <n v="99.69"/>
    <x v="4"/>
    <n v="2"/>
    <x v="0"/>
  </r>
  <r>
    <s v="562-12-5430"/>
    <x v="0"/>
    <s v="Yangon"/>
    <x v="0"/>
    <s v="Female"/>
    <x v="5"/>
    <n v="88.15"/>
    <n v="3"/>
    <n v="13.2225"/>
    <n v="277.67250000000001"/>
    <d v="2019-01-18T00:00:00"/>
    <x v="41"/>
    <x v="0"/>
    <n v="264.45"/>
    <n v="4.7619047620000003"/>
    <n v="13.2225"/>
    <n v="7.9"/>
    <n v="264.45000000000005"/>
    <x v="3"/>
    <n v="1"/>
    <x v="3"/>
  </r>
  <r>
    <s v="816-72-8853"/>
    <x v="0"/>
    <s v="Yangon"/>
    <x v="0"/>
    <s v="Female"/>
    <x v="3"/>
    <n v="27.93"/>
    <n v="5"/>
    <n v="6.9824999999999999"/>
    <n v="146.63249999999999"/>
    <d v="2019-01-29T00:00:00"/>
    <x v="74"/>
    <x v="1"/>
    <n v="139.65"/>
    <n v="4.7619047620000003"/>
    <n v="6.9824999999999999"/>
    <n v="5.9"/>
    <n v="139.65"/>
    <x v="3"/>
    <n v="1"/>
    <x v="5"/>
  </r>
  <r>
    <s v="491-38-3499"/>
    <x v="0"/>
    <s v="Yangon"/>
    <x v="0"/>
    <s v="Male"/>
    <x v="5"/>
    <n v="55.45"/>
    <n v="1"/>
    <n v="2.7725"/>
    <n v="58.222499999999997"/>
    <d v="2019-02-26T00:00:00"/>
    <x v="409"/>
    <x v="2"/>
    <n v="55.45"/>
    <n v="4.7619047620000003"/>
    <n v="2.7725"/>
    <n v="4.9000000000000004"/>
    <n v="55.45"/>
    <x v="4"/>
    <n v="2"/>
    <x v="5"/>
  </r>
  <r>
    <s v="322-02-2271"/>
    <x v="2"/>
    <s v="Mandalay"/>
    <x v="1"/>
    <s v="Female"/>
    <x v="3"/>
    <n v="42.97"/>
    <n v="3"/>
    <n v="6.4455"/>
    <n v="135.35550000000001"/>
    <d v="2019-03-02T00:00:00"/>
    <x v="246"/>
    <x v="1"/>
    <n v="128.91"/>
    <n v="4.7619047620000003"/>
    <n v="6.4455"/>
    <n v="9.3000000000000007"/>
    <n v="128.91"/>
    <x v="2"/>
    <n v="3"/>
    <x v="1"/>
  </r>
  <r>
    <s v="842-29-4695"/>
    <x v="1"/>
    <s v="Naypyitaw"/>
    <x v="0"/>
    <s v="Male"/>
    <x v="3"/>
    <n v="17.14"/>
    <n v="7"/>
    <n v="5.9989999999999997"/>
    <n v="125.979"/>
    <d v="2019-01-16T00:00:00"/>
    <x v="348"/>
    <x v="2"/>
    <n v="119.98"/>
    <n v="4.7619047620000003"/>
    <n v="5.9989999999999997"/>
    <n v="7.9"/>
    <n v="119.98"/>
    <x v="3"/>
    <n v="1"/>
    <x v="0"/>
  </r>
  <r>
    <s v="725-67-2480"/>
    <x v="2"/>
    <s v="Mandalay"/>
    <x v="0"/>
    <s v="Female"/>
    <x v="5"/>
    <n v="58.75"/>
    <n v="6"/>
    <n v="17.625"/>
    <n v="370.125"/>
    <d v="2019-03-24T00:00:00"/>
    <x v="92"/>
    <x v="2"/>
    <n v="352.5"/>
    <n v="4.7619047620000003"/>
    <n v="17.625"/>
    <n v="5.9"/>
    <n v="352.5"/>
    <x v="2"/>
    <n v="3"/>
    <x v="2"/>
  </r>
  <r>
    <s v="641-51-2661"/>
    <x v="1"/>
    <s v="Naypyitaw"/>
    <x v="0"/>
    <s v="Female"/>
    <x v="4"/>
    <n v="87.1"/>
    <n v="10"/>
    <n v="43.55"/>
    <n v="914.55"/>
    <d v="2019-12-02T00:00:00"/>
    <x v="410"/>
    <x v="2"/>
    <n v="871"/>
    <n v="4.7619047620000003"/>
    <n v="43.55"/>
    <n v="9.9"/>
    <n v="871"/>
    <x v="8"/>
    <n v="12"/>
    <x v="4"/>
  </r>
  <r>
    <s v="714-02-3114"/>
    <x v="1"/>
    <s v="Naypyitaw"/>
    <x v="1"/>
    <s v="Female"/>
    <x v="3"/>
    <n v="98.8"/>
    <n v="2"/>
    <n v="9.8800000000000008"/>
    <n v="207.48"/>
    <d v="2019-02-21T00:00:00"/>
    <x v="411"/>
    <x v="1"/>
    <n v="197.6"/>
    <n v="4.7619047620000003"/>
    <n v="9.8800000000000008"/>
    <n v="7.7"/>
    <n v="197.6"/>
    <x v="4"/>
    <n v="2"/>
    <x v="6"/>
  </r>
  <r>
    <s v="518-17-2983"/>
    <x v="0"/>
    <s v="Yangon"/>
    <x v="1"/>
    <s v="Female"/>
    <x v="5"/>
    <n v="48.63"/>
    <n v="4"/>
    <n v="9.7260000000000009"/>
    <n v="204.24600000000001"/>
    <d v="2019-04-02T00:00:00"/>
    <x v="284"/>
    <x v="0"/>
    <n v="194.52"/>
    <n v="4.7619047620000003"/>
    <n v="9.7260000000000009"/>
    <n v="7.6"/>
    <n v="194.52"/>
    <x v="11"/>
    <n v="4"/>
    <x v="5"/>
  </r>
  <r>
    <s v="779-42-2410"/>
    <x v="2"/>
    <s v="Mandalay"/>
    <x v="0"/>
    <s v="Male"/>
    <x v="4"/>
    <n v="57.74"/>
    <n v="3"/>
    <n v="8.6609999999999996"/>
    <n v="181.881"/>
    <d v="2019-02-20T00:00:00"/>
    <x v="412"/>
    <x v="0"/>
    <n v="173.22"/>
    <n v="4.7619047620000003"/>
    <n v="8.6609999999999996"/>
    <n v="7.7"/>
    <n v="173.22"/>
    <x v="4"/>
    <n v="2"/>
    <x v="0"/>
  </r>
  <r>
    <s v="190-14-3147"/>
    <x v="2"/>
    <s v="Mandalay"/>
    <x v="1"/>
    <s v="Female"/>
    <x v="0"/>
    <n v="17.97"/>
    <n v="4"/>
    <n v="3.5939999999999999"/>
    <n v="75.474000000000004"/>
    <d v="2019-02-23T00:00:00"/>
    <x v="413"/>
    <x v="0"/>
    <n v="71.88"/>
    <n v="4.7619047620000003"/>
    <n v="3.5939999999999999"/>
    <n v="6.4"/>
    <n v="71.88"/>
    <x v="4"/>
    <n v="2"/>
    <x v="1"/>
  </r>
  <r>
    <s v="408-66-6712"/>
    <x v="1"/>
    <s v="Naypyitaw"/>
    <x v="0"/>
    <s v="Female"/>
    <x v="0"/>
    <n v="47.71"/>
    <n v="6"/>
    <n v="14.313000000000001"/>
    <n v="300.57299999999998"/>
    <d v="2019-02-16T00:00:00"/>
    <x v="401"/>
    <x v="0"/>
    <n v="286.26"/>
    <n v="4.7619047620000003"/>
    <n v="14.313000000000001"/>
    <n v="4.4000000000000004"/>
    <n v="286.26"/>
    <x v="4"/>
    <n v="2"/>
    <x v="1"/>
  </r>
  <r>
    <s v="679-22-6530"/>
    <x v="2"/>
    <s v="Mandalay"/>
    <x v="1"/>
    <s v="Female"/>
    <x v="3"/>
    <n v="40.619999999999997"/>
    <n v="2"/>
    <n v="4.0620000000000003"/>
    <n v="85.302000000000007"/>
    <d v="2019-01-17T00:00:00"/>
    <x v="175"/>
    <x v="2"/>
    <n v="81.239999999999995"/>
    <n v="4.7619047620000003"/>
    <n v="4.0620000000000003"/>
    <n v="4.0999999999999996"/>
    <n v="81.239999999999995"/>
    <x v="3"/>
    <n v="1"/>
    <x v="6"/>
  </r>
  <r>
    <s v="588-47-8641"/>
    <x v="0"/>
    <s v="Yangon"/>
    <x v="0"/>
    <s v="Male"/>
    <x v="5"/>
    <n v="56.04"/>
    <n v="10"/>
    <n v="28.02"/>
    <n v="588.41999999999996"/>
    <d v="2019-01-14T00:00:00"/>
    <x v="171"/>
    <x v="0"/>
    <n v="560.4"/>
    <n v="4.7619047620000003"/>
    <n v="28.02"/>
    <n v="4.4000000000000004"/>
    <n v="560.4"/>
    <x v="3"/>
    <n v="1"/>
    <x v="4"/>
  </r>
  <r>
    <s v="642-61-4706"/>
    <x v="2"/>
    <s v="Mandalay"/>
    <x v="0"/>
    <s v="Male"/>
    <x v="4"/>
    <n v="93.4"/>
    <n v="2"/>
    <n v="9.34"/>
    <n v="196.14"/>
    <d v="2019-03-30T00:00:00"/>
    <x v="414"/>
    <x v="1"/>
    <n v="186.8"/>
    <n v="4.7619047620000003"/>
    <n v="9.34"/>
    <n v="5.5"/>
    <n v="186.8"/>
    <x v="2"/>
    <n v="3"/>
    <x v="1"/>
  </r>
  <r>
    <s v="576-31-4774"/>
    <x v="2"/>
    <s v="Mandalay"/>
    <x v="1"/>
    <s v="Female"/>
    <x v="0"/>
    <n v="73.41"/>
    <n v="3"/>
    <n v="11.0115"/>
    <n v="231.2415"/>
    <d v="2019-02-03T00:00:00"/>
    <x v="415"/>
    <x v="0"/>
    <n v="220.23"/>
    <n v="4.7619047620000003"/>
    <n v="11.0115"/>
    <n v="4"/>
    <n v="220.23"/>
    <x v="4"/>
    <n v="2"/>
    <x v="2"/>
  </r>
  <r>
    <s v="556-41-6224"/>
    <x v="1"/>
    <s v="Naypyitaw"/>
    <x v="1"/>
    <s v="Male"/>
    <x v="0"/>
    <n v="33.64"/>
    <n v="8"/>
    <n v="13.456"/>
    <n v="282.57600000000002"/>
    <d v="2019-02-15T00:00:00"/>
    <x v="416"/>
    <x v="2"/>
    <n v="269.12"/>
    <n v="4.7619047620000003"/>
    <n v="13.456"/>
    <n v="9.3000000000000007"/>
    <n v="269.12"/>
    <x v="4"/>
    <n v="2"/>
    <x v="3"/>
  </r>
  <r>
    <s v="811-03-8790"/>
    <x v="0"/>
    <s v="Yangon"/>
    <x v="1"/>
    <s v="Female"/>
    <x v="1"/>
    <n v="45.48"/>
    <n v="10"/>
    <n v="22.74"/>
    <n v="477.54"/>
    <d v="2019-01-03T00:00:00"/>
    <x v="417"/>
    <x v="2"/>
    <n v="454.8"/>
    <n v="4.7619047620000003"/>
    <n v="22.74"/>
    <n v="4.8"/>
    <n v="454.79999999999995"/>
    <x v="3"/>
    <n v="1"/>
    <x v="6"/>
  </r>
  <r>
    <s v="242-11-3142"/>
    <x v="2"/>
    <s v="Mandalay"/>
    <x v="0"/>
    <s v="Male"/>
    <x v="5"/>
    <n v="83.77"/>
    <n v="2"/>
    <n v="8.3770000000000007"/>
    <n v="175.917"/>
    <d v="2019-02-24T00:00:00"/>
    <x v="129"/>
    <x v="1"/>
    <n v="167.54"/>
    <n v="4.7619047620000003"/>
    <n v="8.3770000000000007"/>
    <n v="4.5999999999999996"/>
    <n v="167.54"/>
    <x v="4"/>
    <n v="2"/>
    <x v="2"/>
  </r>
  <r>
    <s v="752-23-3760"/>
    <x v="2"/>
    <s v="Mandalay"/>
    <x v="0"/>
    <s v="Female"/>
    <x v="3"/>
    <n v="64.08"/>
    <n v="7"/>
    <n v="22.428000000000001"/>
    <n v="470.988"/>
    <d v="2019-02-19T00:00:00"/>
    <x v="418"/>
    <x v="2"/>
    <n v="448.56"/>
    <n v="4.7619047620000003"/>
    <n v="22.428000000000001"/>
    <n v="7.3"/>
    <n v="448.56"/>
    <x v="4"/>
    <n v="2"/>
    <x v="5"/>
  </r>
  <r>
    <s v="274-05-5470"/>
    <x v="0"/>
    <s v="Yangon"/>
    <x v="0"/>
    <s v="Female"/>
    <x v="4"/>
    <n v="73.47"/>
    <n v="4"/>
    <n v="14.694000000000001"/>
    <n v="308.57400000000001"/>
    <d v="2019-02-23T00:00:00"/>
    <x v="5"/>
    <x v="1"/>
    <n v="293.88"/>
    <n v="4.7619047620000003"/>
    <n v="14.694000000000001"/>
    <n v="6"/>
    <n v="293.88"/>
    <x v="4"/>
    <n v="2"/>
    <x v="1"/>
  </r>
  <r>
    <s v="648-94-3045"/>
    <x v="1"/>
    <s v="Naypyitaw"/>
    <x v="1"/>
    <s v="Male"/>
    <x v="0"/>
    <n v="58.95"/>
    <n v="10"/>
    <n v="29.475000000000001"/>
    <n v="618.97500000000002"/>
    <d v="2019-07-02T00:00:00"/>
    <x v="419"/>
    <x v="0"/>
    <n v="589.5"/>
    <n v="4.7619047620000003"/>
    <n v="29.475000000000001"/>
    <n v="8.1"/>
    <n v="589.5"/>
    <x v="9"/>
    <n v="7"/>
    <x v="5"/>
  </r>
  <r>
    <s v="130-67-4723"/>
    <x v="0"/>
    <s v="Yangon"/>
    <x v="0"/>
    <s v="Male"/>
    <x v="4"/>
    <n v="48.5"/>
    <n v="6"/>
    <n v="14.55"/>
    <n v="305.55"/>
    <d v="2019-11-01T00:00:00"/>
    <x v="317"/>
    <x v="0"/>
    <n v="291"/>
    <n v="4.7619047620000003"/>
    <n v="14.55"/>
    <n v="9.4"/>
    <n v="291"/>
    <x v="10"/>
    <n v="11"/>
    <x v="3"/>
  </r>
  <r>
    <s v="528-87-5606"/>
    <x v="2"/>
    <s v="Mandalay"/>
    <x v="0"/>
    <s v="Female"/>
    <x v="1"/>
    <n v="39.479999999999997"/>
    <n v="1"/>
    <n v="1.974"/>
    <n v="41.454000000000001"/>
    <d v="2019-12-02T00:00:00"/>
    <x v="213"/>
    <x v="1"/>
    <n v="39.479999999999997"/>
    <n v="4.7619047620000003"/>
    <n v="1.974"/>
    <n v="6.5"/>
    <n v="39.479999999999997"/>
    <x v="8"/>
    <n v="12"/>
    <x v="4"/>
  </r>
  <r>
    <s v="320-85-2052"/>
    <x v="2"/>
    <s v="Mandalay"/>
    <x v="1"/>
    <s v="Female"/>
    <x v="3"/>
    <n v="34.81"/>
    <n v="1"/>
    <n v="1.7404999999999999"/>
    <n v="36.5505"/>
    <d v="2019-01-14T00:00:00"/>
    <x v="41"/>
    <x v="2"/>
    <n v="34.81"/>
    <n v="4.7619047620000003"/>
    <n v="1.7404999999999999"/>
    <n v="7"/>
    <n v="34.81"/>
    <x v="3"/>
    <n v="1"/>
    <x v="4"/>
  </r>
  <r>
    <s v="370-96-0655"/>
    <x v="1"/>
    <s v="Naypyitaw"/>
    <x v="1"/>
    <s v="Female"/>
    <x v="5"/>
    <n v="49.32"/>
    <n v="6"/>
    <n v="14.795999999999999"/>
    <n v="310.71600000000001"/>
    <d v="2019-09-01T00:00:00"/>
    <x v="190"/>
    <x v="0"/>
    <n v="295.92"/>
    <n v="4.7619047620000003"/>
    <n v="14.795999999999999"/>
    <n v="7.1"/>
    <n v="295.92"/>
    <x v="7"/>
    <n v="9"/>
    <x v="2"/>
  </r>
  <r>
    <s v="105-10-6182"/>
    <x v="0"/>
    <s v="Yangon"/>
    <x v="0"/>
    <s v="Male"/>
    <x v="5"/>
    <n v="21.48"/>
    <n v="2"/>
    <n v="2.1480000000000001"/>
    <n v="45.107999999999997"/>
    <d v="2019-02-27T00:00:00"/>
    <x v="420"/>
    <x v="0"/>
    <n v="42.96"/>
    <n v="4.7619047620000003"/>
    <n v="2.1480000000000001"/>
    <n v="6.6"/>
    <n v="42.96"/>
    <x v="4"/>
    <n v="2"/>
    <x v="0"/>
  </r>
  <r>
    <s v="510-79-0415"/>
    <x v="2"/>
    <s v="Mandalay"/>
    <x v="0"/>
    <s v="Female"/>
    <x v="3"/>
    <n v="23.08"/>
    <n v="6"/>
    <n v="6.9240000000000004"/>
    <n v="145.404"/>
    <d v="2019-01-24T00:00:00"/>
    <x v="25"/>
    <x v="0"/>
    <n v="138.47999999999999"/>
    <n v="4.7619047620000003"/>
    <n v="6.9240000000000004"/>
    <n v="4.9000000000000004"/>
    <n v="138.47999999999999"/>
    <x v="3"/>
    <n v="1"/>
    <x v="6"/>
  </r>
  <r>
    <s v="241-96-5076"/>
    <x v="2"/>
    <s v="Mandalay"/>
    <x v="0"/>
    <s v="Female"/>
    <x v="2"/>
    <n v="49.1"/>
    <n v="2"/>
    <n v="4.91"/>
    <n v="103.11"/>
    <d v="2019-08-01T00:00:00"/>
    <x v="187"/>
    <x v="2"/>
    <n v="98.2"/>
    <n v="4.7619047620000003"/>
    <n v="4.91"/>
    <n v="6.4"/>
    <n v="98.2"/>
    <x v="1"/>
    <n v="8"/>
    <x v="6"/>
  </r>
  <r>
    <s v="767-97-4650"/>
    <x v="2"/>
    <s v="Mandalay"/>
    <x v="0"/>
    <s v="Female"/>
    <x v="3"/>
    <n v="64.83"/>
    <n v="2"/>
    <n v="6.4829999999999997"/>
    <n v="136.143"/>
    <d v="2019-08-01T00:00:00"/>
    <x v="421"/>
    <x v="2"/>
    <n v="129.66"/>
    <n v="4.7619047620000003"/>
    <n v="6.4829999999999997"/>
    <n v="8"/>
    <n v="129.66"/>
    <x v="1"/>
    <n v="8"/>
    <x v="6"/>
  </r>
  <r>
    <s v="648-83-1321"/>
    <x v="0"/>
    <s v="Yangon"/>
    <x v="0"/>
    <s v="Male"/>
    <x v="2"/>
    <n v="63.56"/>
    <n v="10"/>
    <n v="31.78"/>
    <n v="667.38"/>
    <d v="2019-01-16T00:00:00"/>
    <x v="422"/>
    <x v="1"/>
    <n v="635.6"/>
    <n v="4.7619047620000003"/>
    <n v="31.78"/>
    <n v="4.3"/>
    <n v="635.6"/>
    <x v="3"/>
    <n v="1"/>
    <x v="0"/>
  </r>
  <r>
    <s v="173-57-2300"/>
    <x v="1"/>
    <s v="Naypyitaw"/>
    <x v="0"/>
    <s v="Male"/>
    <x v="3"/>
    <n v="72.88"/>
    <n v="2"/>
    <n v="7.2880000000000003"/>
    <n v="153.048"/>
    <d v="2019-03-13T00:00:00"/>
    <x v="423"/>
    <x v="1"/>
    <n v="145.76"/>
    <n v="4.7619047620000003"/>
    <n v="7.2880000000000003"/>
    <n v="6.1"/>
    <n v="145.76"/>
    <x v="2"/>
    <n v="3"/>
    <x v="0"/>
  </r>
  <r>
    <s v="305-03-2383"/>
    <x v="0"/>
    <s v="Yangon"/>
    <x v="1"/>
    <s v="Female"/>
    <x v="4"/>
    <n v="67.099999999999994"/>
    <n v="3"/>
    <n v="10.065"/>
    <n v="211.36500000000001"/>
    <d v="2019-02-15T00:00:00"/>
    <x v="130"/>
    <x v="1"/>
    <n v="201.3"/>
    <n v="4.7619047620000003"/>
    <n v="10.065"/>
    <n v="7.5"/>
    <n v="201.29999999999998"/>
    <x v="4"/>
    <n v="2"/>
    <x v="3"/>
  </r>
  <r>
    <s v="394-55-6384"/>
    <x v="1"/>
    <s v="Naypyitaw"/>
    <x v="0"/>
    <s v="Female"/>
    <x v="3"/>
    <n v="70.19"/>
    <n v="9"/>
    <n v="31.5855"/>
    <n v="663.29549999999995"/>
    <d v="2019-01-25T00:00:00"/>
    <x v="309"/>
    <x v="1"/>
    <n v="631.71"/>
    <n v="4.7619047620000003"/>
    <n v="31.5855"/>
    <n v="6.7"/>
    <n v="631.71"/>
    <x v="3"/>
    <n v="1"/>
    <x v="3"/>
  </r>
  <r>
    <s v="266-20-6657"/>
    <x v="1"/>
    <s v="Naypyitaw"/>
    <x v="0"/>
    <s v="Male"/>
    <x v="4"/>
    <n v="55.04"/>
    <n v="7"/>
    <n v="19.263999999999999"/>
    <n v="404.54399999999998"/>
    <d v="2019-12-03T00:00:00"/>
    <x v="30"/>
    <x v="0"/>
    <n v="385.28"/>
    <n v="4.7619047620000003"/>
    <n v="19.263999999999999"/>
    <n v="5.2"/>
    <n v="385.28"/>
    <x v="8"/>
    <n v="12"/>
    <x v="5"/>
  </r>
  <r>
    <s v="689-05-1884"/>
    <x v="0"/>
    <s v="Yangon"/>
    <x v="0"/>
    <s v="Male"/>
    <x v="0"/>
    <n v="48.63"/>
    <n v="10"/>
    <n v="24.315000000000001"/>
    <n v="510.61500000000001"/>
    <d v="2019-04-03T00:00:00"/>
    <x v="104"/>
    <x v="1"/>
    <n v="486.3"/>
    <n v="4.7619047620000003"/>
    <n v="24.315000000000001"/>
    <n v="8.8000000000000007"/>
    <n v="486.3"/>
    <x v="11"/>
    <n v="4"/>
    <x v="0"/>
  </r>
  <r>
    <s v="196-01-2849"/>
    <x v="1"/>
    <s v="Naypyitaw"/>
    <x v="0"/>
    <s v="Female"/>
    <x v="5"/>
    <n v="73.38"/>
    <n v="7"/>
    <n v="25.683"/>
    <n v="539.34299999999996"/>
    <d v="2019-10-02T00:00:00"/>
    <x v="424"/>
    <x v="1"/>
    <n v="513.66"/>
    <n v="4.7619047620000003"/>
    <n v="25.683"/>
    <n v="9.5"/>
    <n v="513.66"/>
    <x v="5"/>
    <n v="10"/>
    <x v="0"/>
  </r>
  <r>
    <s v="372-62-5264"/>
    <x v="1"/>
    <s v="Naypyitaw"/>
    <x v="1"/>
    <s v="Female"/>
    <x v="4"/>
    <n v="52.6"/>
    <n v="9"/>
    <n v="23.67"/>
    <n v="497.07"/>
    <d v="2019-01-16T00:00:00"/>
    <x v="51"/>
    <x v="1"/>
    <n v="473.4"/>
    <n v="4.7619047620000003"/>
    <n v="23.67"/>
    <n v="7.6"/>
    <n v="473.40000000000003"/>
    <x v="3"/>
    <n v="1"/>
    <x v="0"/>
  </r>
  <r>
    <s v="800-09-8606"/>
    <x v="0"/>
    <s v="Yangon"/>
    <x v="0"/>
    <s v="Female"/>
    <x v="2"/>
    <n v="87.37"/>
    <n v="5"/>
    <n v="21.842500000000001"/>
    <n v="458.6925"/>
    <d v="2019-01-29T00:00:00"/>
    <x v="425"/>
    <x v="1"/>
    <n v="436.85"/>
    <n v="4.7619047620000003"/>
    <n v="21.842500000000001"/>
    <n v="6.6"/>
    <n v="436.85"/>
    <x v="3"/>
    <n v="1"/>
    <x v="5"/>
  </r>
  <r>
    <s v="182-52-7000"/>
    <x v="0"/>
    <s v="Yangon"/>
    <x v="0"/>
    <s v="Female"/>
    <x v="3"/>
    <n v="27.04"/>
    <n v="4"/>
    <n v="5.4080000000000004"/>
    <n v="113.568"/>
    <d v="2019-01-01T00:00:00"/>
    <x v="263"/>
    <x v="0"/>
    <n v="108.16"/>
    <n v="4.7619047620000003"/>
    <n v="5.4080000000000004"/>
    <n v="6.9"/>
    <n v="108.16"/>
    <x v="3"/>
    <n v="1"/>
    <x v="5"/>
  </r>
  <r>
    <s v="826-58-8051"/>
    <x v="2"/>
    <s v="Mandalay"/>
    <x v="1"/>
    <s v="Male"/>
    <x v="2"/>
    <n v="62.19"/>
    <n v="4"/>
    <n v="12.438000000000001"/>
    <n v="261.19799999999998"/>
    <d v="2019-06-01T00:00:00"/>
    <x v="162"/>
    <x v="0"/>
    <n v="248.76"/>
    <n v="4.7619047620000003"/>
    <n v="12.438000000000001"/>
    <n v="4.3"/>
    <n v="248.76"/>
    <x v="6"/>
    <n v="6"/>
    <x v="1"/>
  </r>
  <r>
    <s v="868-06-0466"/>
    <x v="0"/>
    <s v="Yangon"/>
    <x v="0"/>
    <s v="Male"/>
    <x v="1"/>
    <n v="69.58"/>
    <n v="9"/>
    <n v="31.311"/>
    <n v="657.53099999999995"/>
    <d v="2019-02-19T00:00:00"/>
    <x v="371"/>
    <x v="2"/>
    <n v="626.22"/>
    <n v="4.7619047620000003"/>
    <n v="31.311"/>
    <n v="7.8"/>
    <n v="626.22"/>
    <x v="4"/>
    <n v="2"/>
    <x v="5"/>
  </r>
  <r>
    <s v="751-41-9720"/>
    <x v="1"/>
    <s v="Naypyitaw"/>
    <x v="1"/>
    <s v="Male"/>
    <x v="2"/>
    <n v="97.5"/>
    <n v="10"/>
    <n v="48.75"/>
    <n v="1023.75"/>
    <d v="2019-12-01T00:00:00"/>
    <x v="426"/>
    <x v="0"/>
    <n v="975"/>
    <n v="4.7619047620000003"/>
    <n v="48.75"/>
    <n v="8"/>
    <n v="975"/>
    <x v="8"/>
    <n v="12"/>
    <x v="2"/>
  </r>
  <r>
    <s v="626-43-7888"/>
    <x v="1"/>
    <s v="Naypyitaw"/>
    <x v="1"/>
    <s v="Female"/>
    <x v="5"/>
    <n v="60.41"/>
    <n v="8"/>
    <n v="24.164000000000001"/>
    <n v="507.44400000000002"/>
    <d v="2019-07-02T00:00:00"/>
    <x v="384"/>
    <x v="0"/>
    <n v="483.28"/>
    <n v="4.7619047620000003"/>
    <n v="24.164000000000001"/>
    <n v="9.6"/>
    <n v="483.28"/>
    <x v="9"/>
    <n v="7"/>
    <x v="5"/>
  </r>
  <r>
    <s v="176-64-7711"/>
    <x v="2"/>
    <s v="Mandalay"/>
    <x v="1"/>
    <s v="Male"/>
    <x v="4"/>
    <n v="32.32"/>
    <n v="3"/>
    <n v="4.8479999999999999"/>
    <n v="101.80800000000001"/>
    <d v="2019-03-27T00:00:00"/>
    <x v="386"/>
    <x v="2"/>
    <n v="96.96"/>
    <n v="4.7619047620000003"/>
    <n v="4.8479999999999999"/>
    <n v="4.3"/>
    <n v="96.960000000000008"/>
    <x v="2"/>
    <n v="3"/>
    <x v="0"/>
  </r>
  <r>
    <s v="191-29-0321"/>
    <x v="2"/>
    <s v="Mandalay"/>
    <x v="0"/>
    <s v="Female"/>
    <x v="5"/>
    <n v="19.77"/>
    <n v="10"/>
    <n v="9.8849999999999998"/>
    <n v="207.58500000000001"/>
    <d v="2019-02-27T00:00:00"/>
    <x v="427"/>
    <x v="2"/>
    <n v="197.7"/>
    <n v="4.7619047620000003"/>
    <n v="9.8849999999999998"/>
    <n v="5"/>
    <n v="197.7"/>
    <x v="4"/>
    <n v="2"/>
    <x v="0"/>
  </r>
  <r>
    <s v="729-06-2010"/>
    <x v="2"/>
    <s v="Mandalay"/>
    <x v="0"/>
    <s v="Male"/>
    <x v="0"/>
    <n v="80.47"/>
    <n v="9"/>
    <n v="36.211500000000001"/>
    <n v="760.44150000000002"/>
    <d v="2019-06-01T00:00:00"/>
    <x v="428"/>
    <x v="1"/>
    <n v="724.23"/>
    <n v="4.7619047620000003"/>
    <n v="36.211500000000001"/>
    <n v="9.1999999999999993"/>
    <n v="724.23"/>
    <x v="6"/>
    <n v="6"/>
    <x v="1"/>
  </r>
  <r>
    <s v="640-48-5028"/>
    <x v="2"/>
    <s v="Mandalay"/>
    <x v="0"/>
    <s v="Female"/>
    <x v="2"/>
    <n v="88.39"/>
    <n v="9"/>
    <n v="39.775500000000001"/>
    <n v="835.28549999999996"/>
    <d v="2019-02-03T00:00:00"/>
    <x v="343"/>
    <x v="1"/>
    <n v="795.51"/>
    <n v="4.7619047620000003"/>
    <n v="39.775500000000001"/>
    <n v="6.3"/>
    <n v="795.51"/>
    <x v="4"/>
    <n v="2"/>
    <x v="2"/>
  </r>
  <r>
    <s v="186-79-9562"/>
    <x v="2"/>
    <s v="Mandalay"/>
    <x v="1"/>
    <s v="Male"/>
    <x v="0"/>
    <n v="71.77"/>
    <n v="7"/>
    <n v="25.119499999999999"/>
    <n v="527.5095"/>
    <d v="2019-03-29T00:00:00"/>
    <x v="429"/>
    <x v="1"/>
    <n v="502.39"/>
    <n v="4.7619047620000003"/>
    <n v="25.119499999999999"/>
    <n v="8.9"/>
    <n v="502.39"/>
    <x v="2"/>
    <n v="3"/>
    <x v="3"/>
  </r>
  <r>
    <s v="834-45-5519"/>
    <x v="2"/>
    <s v="Mandalay"/>
    <x v="1"/>
    <s v="Female"/>
    <x v="1"/>
    <n v="43"/>
    <n v="4"/>
    <n v="8.6"/>
    <n v="180.6"/>
    <d v="2019-01-31T00:00:00"/>
    <x v="109"/>
    <x v="0"/>
    <n v="172"/>
    <n v="4.7619047620000003"/>
    <n v="8.6"/>
    <n v="7.6"/>
    <n v="172"/>
    <x v="3"/>
    <n v="1"/>
    <x v="6"/>
  </r>
  <r>
    <s v="162-65-8559"/>
    <x v="1"/>
    <s v="Naypyitaw"/>
    <x v="0"/>
    <s v="Male"/>
    <x v="4"/>
    <n v="68.98"/>
    <n v="1"/>
    <n v="3.4489999999999998"/>
    <n v="72.429000000000002"/>
    <d v="2019-01-21T00:00:00"/>
    <x v="430"/>
    <x v="1"/>
    <n v="68.98"/>
    <n v="4.7619047620000003"/>
    <n v="3.4489999999999998"/>
    <n v="4.8"/>
    <n v="68.98"/>
    <x v="3"/>
    <n v="1"/>
    <x v="4"/>
  </r>
  <r>
    <s v="760-27-5490"/>
    <x v="1"/>
    <s v="Naypyitaw"/>
    <x v="1"/>
    <s v="Male"/>
    <x v="5"/>
    <n v="15.62"/>
    <n v="8"/>
    <n v="6.2480000000000002"/>
    <n v="131.208"/>
    <d v="2019-01-20T00:00:00"/>
    <x v="291"/>
    <x v="0"/>
    <n v="124.96"/>
    <n v="4.7619047620000003"/>
    <n v="6.2480000000000002"/>
    <n v="9.1"/>
    <n v="124.96"/>
    <x v="3"/>
    <n v="1"/>
    <x v="2"/>
  </r>
  <r>
    <s v="445-30-9252"/>
    <x v="0"/>
    <s v="Yangon"/>
    <x v="1"/>
    <s v="Male"/>
    <x v="3"/>
    <n v="25.7"/>
    <n v="3"/>
    <n v="3.855"/>
    <n v="80.954999999999998"/>
    <d v="2019-01-17T00:00:00"/>
    <x v="422"/>
    <x v="0"/>
    <n v="77.099999999999994"/>
    <n v="4.7619047620000003"/>
    <n v="3.855"/>
    <n v="6.1"/>
    <n v="77.099999999999994"/>
    <x v="3"/>
    <n v="1"/>
    <x v="6"/>
  </r>
  <r>
    <s v="786-94-2700"/>
    <x v="0"/>
    <s v="Yangon"/>
    <x v="0"/>
    <s v="Male"/>
    <x v="4"/>
    <n v="80.62"/>
    <n v="6"/>
    <n v="24.186"/>
    <n v="507.90600000000001"/>
    <d v="2019-02-28T00:00:00"/>
    <x v="307"/>
    <x v="1"/>
    <n v="483.72"/>
    <n v="4.7619047620000003"/>
    <n v="24.186"/>
    <n v="9.1"/>
    <n v="483.72"/>
    <x v="4"/>
    <n v="2"/>
    <x v="6"/>
  </r>
  <r>
    <s v="728-88-7867"/>
    <x v="1"/>
    <s v="Naypyitaw"/>
    <x v="0"/>
    <s v="Female"/>
    <x v="2"/>
    <n v="75.53"/>
    <n v="4"/>
    <n v="15.106"/>
    <n v="317.226"/>
    <d v="2019-03-19T00:00:00"/>
    <x v="350"/>
    <x v="0"/>
    <n v="302.12"/>
    <n v="4.7619047620000003"/>
    <n v="15.106"/>
    <n v="8.3000000000000007"/>
    <n v="302.12"/>
    <x v="2"/>
    <n v="3"/>
    <x v="5"/>
  </r>
  <r>
    <s v="183-21-3799"/>
    <x v="1"/>
    <s v="Naypyitaw"/>
    <x v="1"/>
    <s v="Female"/>
    <x v="1"/>
    <n v="77.63"/>
    <n v="9"/>
    <n v="34.933500000000002"/>
    <n v="733.60350000000005"/>
    <d v="2019-02-19T00:00:00"/>
    <x v="431"/>
    <x v="0"/>
    <n v="698.67"/>
    <n v="4.7619047620000003"/>
    <n v="34.933500000000002"/>
    <n v="7.2"/>
    <n v="698.67"/>
    <x v="4"/>
    <n v="2"/>
    <x v="5"/>
  </r>
  <r>
    <s v="268-20-3585"/>
    <x v="1"/>
    <s v="Naypyitaw"/>
    <x v="1"/>
    <s v="Female"/>
    <x v="0"/>
    <n v="13.85"/>
    <n v="9"/>
    <n v="6.2324999999999999"/>
    <n v="130.88249999999999"/>
    <d v="2019-04-02T00:00:00"/>
    <x v="165"/>
    <x v="0"/>
    <n v="124.65"/>
    <n v="4.7619047620000003"/>
    <n v="6.2324999999999999"/>
    <n v="6"/>
    <n v="124.64999999999999"/>
    <x v="11"/>
    <n v="4"/>
    <x v="5"/>
  </r>
  <r>
    <s v="735-32-9839"/>
    <x v="1"/>
    <s v="Naypyitaw"/>
    <x v="0"/>
    <s v="Male"/>
    <x v="5"/>
    <n v="98.7"/>
    <n v="8"/>
    <n v="39.479999999999997"/>
    <n v="829.08"/>
    <d v="2019-01-31T00:00:00"/>
    <x v="130"/>
    <x v="0"/>
    <n v="789.6"/>
    <n v="4.7619047620000003"/>
    <n v="39.479999999999997"/>
    <n v="8.5"/>
    <n v="789.6"/>
    <x v="3"/>
    <n v="1"/>
    <x v="6"/>
  </r>
  <r>
    <s v="258-92-7466"/>
    <x v="0"/>
    <s v="Yangon"/>
    <x v="1"/>
    <s v="Female"/>
    <x v="0"/>
    <n v="35.68"/>
    <n v="5"/>
    <n v="8.92"/>
    <n v="187.32"/>
    <d v="2019-06-02T00:00:00"/>
    <x v="333"/>
    <x v="2"/>
    <n v="178.4"/>
    <n v="4.7619047620000003"/>
    <n v="8.92"/>
    <n v="6.6"/>
    <n v="178.4"/>
    <x v="6"/>
    <n v="6"/>
    <x v="2"/>
  </r>
  <r>
    <s v="857-16-3520"/>
    <x v="0"/>
    <s v="Yangon"/>
    <x v="0"/>
    <s v="Female"/>
    <x v="5"/>
    <n v="71.459999999999994"/>
    <n v="7"/>
    <n v="25.010999999999999"/>
    <n v="525.23099999999999"/>
    <d v="2019-03-28T00:00:00"/>
    <x v="432"/>
    <x v="0"/>
    <n v="500.22"/>
    <n v="4.7619047620000003"/>
    <n v="25.010999999999999"/>
    <n v="4.5"/>
    <n v="500.21999999999997"/>
    <x v="2"/>
    <n v="3"/>
    <x v="6"/>
  </r>
  <r>
    <s v="482-17-1179"/>
    <x v="0"/>
    <s v="Yangon"/>
    <x v="0"/>
    <s v="Male"/>
    <x v="1"/>
    <n v="11.94"/>
    <n v="3"/>
    <n v="1.7909999999999999"/>
    <n v="37.610999999999997"/>
    <d v="2019-01-19T00:00:00"/>
    <x v="433"/>
    <x v="2"/>
    <n v="35.82"/>
    <n v="4.7619047620000003"/>
    <n v="1.7909999999999999"/>
    <n v="8.1"/>
    <n v="35.82"/>
    <x v="3"/>
    <n v="1"/>
    <x v="1"/>
  </r>
  <r>
    <s v="788-21-5741"/>
    <x v="0"/>
    <s v="Yangon"/>
    <x v="1"/>
    <s v="Male"/>
    <x v="5"/>
    <n v="45.38"/>
    <n v="3"/>
    <n v="6.8070000000000004"/>
    <n v="142.947"/>
    <d v="2019-02-17T00:00:00"/>
    <x v="229"/>
    <x v="2"/>
    <n v="136.13999999999999"/>
    <n v="4.7619047620000003"/>
    <n v="6.8070000000000004"/>
    <n v="7.2"/>
    <n v="136.14000000000001"/>
    <x v="4"/>
    <n v="2"/>
    <x v="2"/>
  </r>
  <r>
    <s v="821-14-9046"/>
    <x v="2"/>
    <s v="Mandalay"/>
    <x v="0"/>
    <s v="Female"/>
    <x v="5"/>
    <n v="17.48"/>
    <n v="6"/>
    <n v="5.2439999999999998"/>
    <n v="110.124"/>
    <d v="2019-01-18T00:00:00"/>
    <x v="278"/>
    <x v="2"/>
    <n v="104.88"/>
    <n v="4.7619047620000003"/>
    <n v="5.2439999999999998"/>
    <n v="6.1"/>
    <n v="104.88"/>
    <x v="3"/>
    <n v="1"/>
    <x v="3"/>
  </r>
  <r>
    <s v="418-05-0656"/>
    <x v="2"/>
    <s v="Mandalay"/>
    <x v="1"/>
    <s v="Female"/>
    <x v="5"/>
    <n v="25.56"/>
    <n v="7"/>
    <n v="8.9459999999999997"/>
    <n v="187.86600000000001"/>
    <d v="2019-02-02T00:00:00"/>
    <x v="434"/>
    <x v="1"/>
    <n v="178.92"/>
    <n v="4.7619047620000003"/>
    <n v="8.9459999999999997"/>
    <n v="7.1"/>
    <n v="178.92"/>
    <x v="4"/>
    <n v="2"/>
    <x v="1"/>
  </r>
  <r>
    <s v="678-79-0726"/>
    <x v="1"/>
    <s v="Naypyitaw"/>
    <x v="0"/>
    <s v="Female"/>
    <x v="3"/>
    <n v="90.63"/>
    <n v="9"/>
    <n v="40.783499999999997"/>
    <n v="856.45349999999996"/>
    <d v="2019-01-18T00:00:00"/>
    <x v="311"/>
    <x v="1"/>
    <n v="815.67"/>
    <n v="4.7619047620000003"/>
    <n v="40.783499999999997"/>
    <n v="5.0999999999999996"/>
    <n v="815.67"/>
    <x v="3"/>
    <n v="1"/>
    <x v="3"/>
  </r>
  <r>
    <s v="776-68-1096"/>
    <x v="2"/>
    <s v="Mandalay"/>
    <x v="1"/>
    <s v="Male"/>
    <x v="2"/>
    <n v="44.12"/>
    <n v="3"/>
    <n v="6.6180000000000003"/>
    <n v="138.97800000000001"/>
    <d v="2019-03-18T00:00:00"/>
    <x v="286"/>
    <x v="2"/>
    <n v="132.36000000000001"/>
    <n v="4.7619047620000003"/>
    <n v="6.6180000000000003"/>
    <n v="7.9"/>
    <n v="132.35999999999999"/>
    <x v="2"/>
    <n v="3"/>
    <x v="4"/>
  </r>
  <r>
    <s v="592-46-1692"/>
    <x v="1"/>
    <s v="Naypyitaw"/>
    <x v="0"/>
    <s v="Female"/>
    <x v="4"/>
    <n v="36.770000000000003"/>
    <n v="7"/>
    <n v="12.8695"/>
    <n v="270.2595"/>
    <d v="2019-11-01T00:00:00"/>
    <x v="435"/>
    <x v="1"/>
    <n v="257.39"/>
    <n v="4.7619047620000003"/>
    <n v="12.8695"/>
    <n v="7.4"/>
    <n v="257.39000000000004"/>
    <x v="10"/>
    <n v="11"/>
    <x v="3"/>
  </r>
  <r>
    <s v="434-35-9162"/>
    <x v="2"/>
    <s v="Mandalay"/>
    <x v="0"/>
    <s v="Male"/>
    <x v="4"/>
    <n v="23.34"/>
    <n v="4"/>
    <n v="4.6680000000000001"/>
    <n v="98.028000000000006"/>
    <d v="2019-04-02T00:00:00"/>
    <x v="387"/>
    <x v="0"/>
    <n v="93.36"/>
    <n v="4.7619047620000003"/>
    <n v="4.6680000000000001"/>
    <n v="7.4"/>
    <n v="93.36"/>
    <x v="11"/>
    <n v="4"/>
    <x v="5"/>
  </r>
  <r>
    <s v="149-14-0304"/>
    <x v="1"/>
    <s v="Naypyitaw"/>
    <x v="0"/>
    <s v="Female"/>
    <x v="0"/>
    <n v="28.5"/>
    <n v="8"/>
    <n v="11.4"/>
    <n v="239.4"/>
    <d v="2019-06-02T00:00:00"/>
    <x v="436"/>
    <x v="1"/>
    <n v="228"/>
    <n v="4.7619047620000003"/>
    <n v="11.4"/>
    <n v="6.6"/>
    <n v="228"/>
    <x v="6"/>
    <n v="6"/>
    <x v="2"/>
  </r>
  <r>
    <s v="442-44-6497"/>
    <x v="1"/>
    <s v="Naypyitaw"/>
    <x v="0"/>
    <s v="Male"/>
    <x v="2"/>
    <n v="55.57"/>
    <n v="3"/>
    <n v="8.3354999999999997"/>
    <n v="175.0455"/>
    <d v="2019-08-01T00:00:00"/>
    <x v="437"/>
    <x v="2"/>
    <n v="166.71"/>
    <n v="4.7619047620000003"/>
    <n v="8.3354999999999997"/>
    <n v="5.9"/>
    <n v="166.71"/>
    <x v="1"/>
    <n v="8"/>
    <x v="6"/>
  </r>
  <r>
    <s v="174-64-0215"/>
    <x v="2"/>
    <s v="Mandalay"/>
    <x v="1"/>
    <s v="Male"/>
    <x v="3"/>
    <n v="69.739999999999995"/>
    <n v="10"/>
    <n v="34.869999999999997"/>
    <n v="732.27"/>
    <d v="2019-05-03T00:00:00"/>
    <x v="438"/>
    <x v="2"/>
    <n v="697.4"/>
    <n v="4.7619047620000003"/>
    <n v="34.869999999999997"/>
    <n v="8.9"/>
    <n v="697.4"/>
    <x v="0"/>
    <n v="5"/>
    <x v="3"/>
  </r>
  <r>
    <s v="210-74-9613"/>
    <x v="1"/>
    <s v="Naypyitaw"/>
    <x v="1"/>
    <s v="Male"/>
    <x v="5"/>
    <n v="97.26"/>
    <n v="4"/>
    <n v="19.452000000000002"/>
    <n v="408.49200000000002"/>
    <d v="2019-03-16T00:00:00"/>
    <x v="439"/>
    <x v="0"/>
    <n v="389.04"/>
    <n v="4.7619047620000003"/>
    <n v="19.452000000000002"/>
    <n v="6.8"/>
    <n v="389.04"/>
    <x v="2"/>
    <n v="3"/>
    <x v="1"/>
  </r>
  <r>
    <s v="299-29-0180"/>
    <x v="2"/>
    <s v="Mandalay"/>
    <x v="0"/>
    <s v="Female"/>
    <x v="2"/>
    <n v="52.18"/>
    <n v="7"/>
    <n v="18.263000000000002"/>
    <n v="383.52300000000002"/>
    <d v="2019-09-03T00:00:00"/>
    <x v="200"/>
    <x v="1"/>
    <n v="365.26"/>
    <n v="4.7619047620000003"/>
    <n v="18.263000000000002"/>
    <n v="9.3000000000000007"/>
    <n v="365.26"/>
    <x v="7"/>
    <n v="9"/>
    <x v="5"/>
  </r>
  <r>
    <s v="247-11-2470"/>
    <x v="0"/>
    <s v="Yangon"/>
    <x v="0"/>
    <s v="Female"/>
    <x v="5"/>
    <n v="22.32"/>
    <n v="4"/>
    <n v="4.4640000000000004"/>
    <n v="93.744"/>
    <d v="2019-01-03T00:00:00"/>
    <x v="293"/>
    <x v="2"/>
    <n v="89.28"/>
    <n v="4.7619047620000003"/>
    <n v="4.4640000000000004"/>
    <n v="4.4000000000000004"/>
    <n v="89.28"/>
    <x v="3"/>
    <n v="1"/>
    <x v="6"/>
  </r>
  <r>
    <s v="635-28-5728"/>
    <x v="0"/>
    <s v="Yangon"/>
    <x v="1"/>
    <s v="Male"/>
    <x v="0"/>
    <n v="56"/>
    <n v="3"/>
    <n v="8.4"/>
    <n v="176.4"/>
    <d v="2019-02-28T00:00:00"/>
    <x v="295"/>
    <x v="0"/>
    <n v="168"/>
    <n v="4.7619047620000003"/>
    <n v="8.4"/>
    <n v="4.8"/>
    <n v="168"/>
    <x v="4"/>
    <n v="2"/>
    <x v="6"/>
  </r>
  <r>
    <s v="756-49-0168"/>
    <x v="0"/>
    <s v="Yangon"/>
    <x v="0"/>
    <s v="Male"/>
    <x v="5"/>
    <n v="19.7"/>
    <n v="1"/>
    <n v="0.98499999999999999"/>
    <n v="20.684999999999999"/>
    <d v="2019-08-02T00:00:00"/>
    <x v="411"/>
    <x v="0"/>
    <n v="19.7"/>
    <n v="4.7619047620000003"/>
    <n v="0.98499999999999999"/>
    <n v="9.5"/>
    <n v="19.7"/>
    <x v="1"/>
    <n v="8"/>
    <x v="3"/>
  </r>
  <r>
    <s v="438-23-1242"/>
    <x v="2"/>
    <s v="Mandalay"/>
    <x v="1"/>
    <s v="Male"/>
    <x v="1"/>
    <n v="75.88"/>
    <n v="7"/>
    <n v="26.558"/>
    <n v="557.71799999999996"/>
    <d v="2019-01-24T00:00:00"/>
    <x v="440"/>
    <x v="0"/>
    <n v="531.16"/>
    <n v="4.7619047620000003"/>
    <n v="26.558"/>
    <n v="8.9"/>
    <n v="531.16"/>
    <x v="3"/>
    <n v="1"/>
    <x v="6"/>
  </r>
  <r>
    <s v="238-45-6950"/>
    <x v="2"/>
    <s v="Mandalay"/>
    <x v="0"/>
    <s v="Male"/>
    <x v="4"/>
    <n v="53.72"/>
    <n v="1"/>
    <n v="2.6859999999999999"/>
    <n v="56.405999999999999"/>
    <d v="2019-01-03T00:00:00"/>
    <x v="356"/>
    <x v="0"/>
    <n v="53.72"/>
    <n v="4.7619047620000003"/>
    <n v="2.6859999999999999"/>
    <n v="6.4"/>
    <n v="53.72"/>
    <x v="3"/>
    <n v="1"/>
    <x v="6"/>
  </r>
  <r>
    <s v="607-65-2441"/>
    <x v="1"/>
    <s v="Naypyitaw"/>
    <x v="0"/>
    <s v="Male"/>
    <x v="0"/>
    <n v="81.95"/>
    <n v="10"/>
    <n v="40.975000000000001"/>
    <n v="860.47500000000002"/>
    <d v="2019-10-03T00:00:00"/>
    <x v="441"/>
    <x v="2"/>
    <n v="819.5"/>
    <n v="4.7619047620000003"/>
    <n v="40.975000000000001"/>
    <n v="6"/>
    <n v="819.5"/>
    <x v="5"/>
    <n v="10"/>
    <x v="6"/>
  </r>
  <r>
    <s v="386-27-7606"/>
    <x v="1"/>
    <s v="Naypyitaw"/>
    <x v="0"/>
    <s v="Female"/>
    <x v="2"/>
    <n v="81.2"/>
    <n v="7"/>
    <n v="28.42"/>
    <n v="596.82000000000005"/>
    <d v="2019-03-23T00:00:00"/>
    <x v="273"/>
    <x v="2"/>
    <n v="568.4"/>
    <n v="4.7619047620000003"/>
    <n v="28.42"/>
    <n v="8.1"/>
    <n v="568.4"/>
    <x v="2"/>
    <n v="3"/>
    <x v="1"/>
  </r>
  <r>
    <s v="137-63-5492"/>
    <x v="1"/>
    <s v="Naypyitaw"/>
    <x v="1"/>
    <s v="Male"/>
    <x v="1"/>
    <n v="58.76"/>
    <n v="10"/>
    <n v="29.38"/>
    <n v="616.98"/>
    <d v="2019-01-29T00:00:00"/>
    <x v="442"/>
    <x v="0"/>
    <n v="587.6"/>
    <n v="4.7619047620000003"/>
    <n v="29.38"/>
    <n v="9"/>
    <n v="587.6"/>
    <x v="3"/>
    <n v="1"/>
    <x v="5"/>
  </r>
  <r>
    <s v="197-77-7132"/>
    <x v="2"/>
    <s v="Mandalay"/>
    <x v="0"/>
    <s v="Male"/>
    <x v="1"/>
    <n v="91.56"/>
    <n v="8"/>
    <n v="36.624000000000002"/>
    <n v="769.10400000000004"/>
    <d v="2019-12-01T00:00:00"/>
    <x v="282"/>
    <x v="0"/>
    <n v="732.48"/>
    <n v="4.7619047620000003"/>
    <n v="36.624000000000002"/>
    <n v="6"/>
    <n v="732.48"/>
    <x v="8"/>
    <n v="12"/>
    <x v="2"/>
  </r>
  <r>
    <s v="805-86-0265"/>
    <x v="0"/>
    <s v="Yangon"/>
    <x v="1"/>
    <s v="Male"/>
    <x v="2"/>
    <n v="93.96"/>
    <n v="9"/>
    <n v="42.281999999999996"/>
    <n v="887.92200000000003"/>
    <d v="2019-03-20T00:00:00"/>
    <x v="102"/>
    <x v="1"/>
    <n v="845.64"/>
    <n v="4.7619047620000003"/>
    <n v="42.281999999999996"/>
    <n v="9.8000000000000007"/>
    <n v="845.64"/>
    <x v="2"/>
    <n v="3"/>
    <x v="0"/>
  </r>
  <r>
    <s v="733-29-1227"/>
    <x v="1"/>
    <s v="Naypyitaw"/>
    <x v="1"/>
    <s v="Male"/>
    <x v="2"/>
    <n v="55.61"/>
    <n v="7"/>
    <n v="19.4635"/>
    <n v="408.73349999999999"/>
    <d v="2019-03-23T00:00:00"/>
    <x v="443"/>
    <x v="1"/>
    <n v="389.27"/>
    <n v="4.7619047620000003"/>
    <n v="19.4635"/>
    <n v="8.5"/>
    <n v="389.27"/>
    <x v="2"/>
    <n v="3"/>
    <x v="1"/>
  </r>
  <r>
    <s v="451-73-2711"/>
    <x v="1"/>
    <s v="Naypyitaw"/>
    <x v="1"/>
    <s v="Male"/>
    <x v="4"/>
    <n v="84.83"/>
    <n v="1"/>
    <n v="4.2415000000000003"/>
    <n v="89.0715"/>
    <d v="2019-01-14T00:00:00"/>
    <x v="444"/>
    <x v="0"/>
    <n v="84.83"/>
    <n v="4.7619047620000003"/>
    <n v="4.2415000000000003"/>
    <n v="8.8000000000000007"/>
    <n v="84.83"/>
    <x v="3"/>
    <n v="1"/>
    <x v="4"/>
  </r>
  <r>
    <s v="373-14-0504"/>
    <x v="0"/>
    <s v="Yangon"/>
    <x v="0"/>
    <s v="Female"/>
    <x v="3"/>
    <n v="71.63"/>
    <n v="2"/>
    <n v="7.1630000000000003"/>
    <n v="150.423"/>
    <d v="2019-12-02T00:00:00"/>
    <x v="375"/>
    <x v="0"/>
    <n v="143.26"/>
    <n v="4.7619047620000003"/>
    <n v="7.1630000000000003"/>
    <n v="8.8000000000000007"/>
    <n v="143.26"/>
    <x v="8"/>
    <n v="12"/>
    <x v="4"/>
  </r>
  <r>
    <s v="546-80-2899"/>
    <x v="0"/>
    <s v="Yangon"/>
    <x v="0"/>
    <s v="Male"/>
    <x v="2"/>
    <n v="37.69"/>
    <n v="2"/>
    <n v="3.7690000000000001"/>
    <n v="79.149000000000001"/>
    <d v="2019-02-20T00:00:00"/>
    <x v="406"/>
    <x v="0"/>
    <n v="75.38"/>
    <n v="4.7619047620000003"/>
    <n v="3.7690000000000001"/>
    <n v="9.5"/>
    <n v="75.38"/>
    <x v="4"/>
    <n v="2"/>
    <x v="0"/>
  </r>
  <r>
    <s v="345-68-9016"/>
    <x v="1"/>
    <s v="Naypyitaw"/>
    <x v="0"/>
    <s v="Female"/>
    <x v="3"/>
    <n v="31.67"/>
    <n v="8"/>
    <n v="12.667999999999999"/>
    <n v="266.02800000000002"/>
    <d v="2019-02-01T00:00:00"/>
    <x v="15"/>
    <x v="2"/>
    <n v="253.36"/>
    <n v="4.7619047620000003"/>
    <n v="12.667999999999999"/>
    <n v="5.6"/>
    <n v="253.36"/>
    <x v="4"/>
    <n v="2"/>
    <x v="3"/>
  </r>
  <r>
    <s v="390-17-5806"/>
    <x v="1"/>
    <s v="Naypyitaw"/>
    <x v="0"/>
    <s v="Female"/>
    <x v="4"/>
    <n v="38.42"/>
    <n v="1"/>
    <n v="1.921"/>
    <n v="40.341000000000001"/>
    <d v="2019-02-02T00:00:00"/>
    <x v="445"/>
    <x v="1"/>
    <n v="38.42"/>
    <n v="4.7619047620000003"/>
    <n v="1.921"/>
    <n v="8.6"/>
    <n v="38.42"/>
    <x v="4"/>
    <n v="2"/>
    <x v="1"/>
  </r>
  <r>
    <s v="457-13-1708"/>
    <x v="2"/>
    <s v="Mandalay"/>
    <x v="0"/>
    <s v="Male"/>
    <x v="5"/>
    <n v="65.23"/>
    <n v="10"/>
    <n v="32.615000000000002"/>
    <n v="684.91499999999996"/>
    <d v="2019-08-01T00:00:00"/>
    <x v="312"/>
    <x v="2"/>
    <n v="652.29999999999995"/>
    <n v="4.7619047620000003"/>
    <n v="32.615000000000002"/>
    <n v="5.2"/>
    <n v="652.30000000000007"/>
    <x v="1"/>
    <n v="8"/>
    <x v="6"/>
  </r>
  <r>
    <s v="664-14-2882"/>
    <x v="1"/>
    <s v="Naypyitaw"/>
    <x v="0"/>
    <s v="Female"/>
    <x v="2"/>
    <n v="10.53"/>
    <n v="5"/>
    <n v="2.6324999999999998"/>
    <n v="55.282499999999999"/>
    <d v="2019-01-30T00:00:00"/>
    <x v="140"/>
    <x v="2"/>
    <n v="52.65"/>
    <n v="4.7619047620000003"/>
    <n v="2.6324999999999998"/>
    <n v="5.8"/>
    <n v="52.65"/>
    <x v="3"/>
    <n v="1"/>
    <x v="0"/>
  </r>
  <r>
    <s v="487-79-6868"/>
    <x v="2"/>
    <s v="Mandalay"/>
    <x v="0"/>
    <s v="Female"/>
    <x v="2"/>
    <n v="12.29"/>
    <n v="9"/>
    <n v="5.5305"/>
    <n v="116.1405"/>
    <d v="2019-03-26T00:00:00"/>
    <x v="198"/>
    <x v="2"/>
    <n v="110.61"/>
    <n v="4.7619047620000003"/>
    <n v="5.5305"/>
    <n v="8"/>
    <n v="110.60999999999999"/>
    <x v="2"/>
    <n v="3"/>
    <x v="5"/>
  </r>
  <r>
    <s v="314-23-4520"/>
    <x v="1"/>
    <s v="Naypyitaw"/>
    <x v="0"/>
    <s v="Male"/>
    <x v="0"/>
    <n v="81.23"/>
    <n v="7"/>
    <n v="28.430499999999999"/>
    <n v="597.04049999999995"/>
    <d v="2019-01-15T00:00:00"/>
    <x v="446"/>
    <x v="1"/>
    <n v="568.61"/>
    <n v="4.7619047620000003"/>
    <n v="28.430499999999999"/>
    <n v="9"/>
    <n v="568.61"/>
    <x v="3"/>
    <n v="1"/>
    <x v="5"/>
  </r>
  <r>
    <s v="210-30-7976"/>
    <x v="2"/>
    <s v="Mandalay"/>
    <x v="0"/>
    <s v="Female"/>
    <x v="5"/>
    <n v="22.32"/>
    <n v="4"/>
    <n v="4.4640000000000004"/>
    <n v="93.744"/>
    <d v="2019-03-14T00:00:00"/>
    <x v="447"/>
    <x v="0"/>
    <n v="89.28"/>
    <n v="4.7619047620000003"/>
    <n v="4.4640000000000004"/>
    <n v="4.0999999999999996"/>
    <n v="89.28"/>
    <x v="2"/>
    <n v="3"/>
    <x v="6"/>
  </r>
  <r>
    <s v="585-86-8361"/>
    <x v="0"/>
    <s v="Yangon"/>
    <x v="1"/>
    <s v="Female"/>
    <x v="4"/>
    <n v="27.28"/>
    <n v="5"/>
    <n v="6.82"/>
    <n v="143.22"/>
    <d v="2019-03-02T00:00:00"/>
    <x v="359"/>
    <x v="2"/>
    <n v="136.4"/>
    <n v="4.7619047620000003"/>
    <n v="6.82"/>
    <n v="8.6"/>
    <n v="136.4"/>
    <x v="2"/>
    <n v="3"/>
    <x v="1"/>
  </r>
  <r>
    <s v="807-14-7833"/>
    <x v="0"/>
    <s v="Yangon"/>
    <x v="0"/>
    <s v="Female"/>
    <x v="1"/>
    <n v="17.420000000000002"/>
    <n v="10"/>
    <n v="8.7100000000000009"/>
    <n v="182.91"/>
    <d v="2019-02-22T00:00:00"/>
    <x v="448"/>
    <x v="0"/>
    <n v="174.2"/>
    <n v="4.7619047620000003"/>
    <n v="8.7100000000000009"/>
    <n v="7"/>
    <n v="174.20000000000002"/>
    <x v="4"/>
    <n v="2"/>
    <x v="3"/>
  </r>
  <r>
    <s v="775-72-1988"/>
    <x v="2"/>
    <s v="Mandalay"/>
    <x v="1"/>
    <s v="Male"/>
    <x v="2"/>
    <n v="73.28"/>
    <n v="5"/>
    <n v="18.32"/>
    <n v="384.72"/>
    <d v="2019-01-24T00:00:00"/>
    <x v="184"/>
    <x v="0"/>
    <n v="366.4"/>
    <n v="4.7619047620000003"/>
    <n v="18.32"/>
    <n v="8.4"/>
    <n v="366.4"/>
    <x v="3"/>
    <n v="1"/>
    <x v="6"/>
  </r>
  <r>
    <s v="288-38-3758"/>
    <x v="1"/>
    <s v="Naypyitaw"/>
    <x v="0"/>
    <s v="Female"/>
    <x v="5"/>
    <n v="84.87"/>
    <n v="3"/>
    <n v="12.730499999999999"/>
    <n v="267.34050000000002"/>
    <d v="2019-01-25T00:00:00"/>
    <x v="5"/>
    <x v="0"/>
    <n v="254.61"/>
    <n v="4.7619047620000003"/>
    <n v="12.730499999999999"/>
    <n v="7.4"/>
    <n v="254.61"/>
    <x v="3"/>
    <n v="1"/>
    <x v="3"/>
  </r>
  <r>
    <s v="652-43-6591"/>
    <x v="0"/>
    <s v="Yangon"/>
    <x v="1"/>
    <s v="Female"/>
    <x v="5"/>
    <n v="97.29"/>
    <n v="8"/>
    <n v="38.915999999999997"/>
    <n v="817.23599999999999"/>
    <d v="2019-09-03T00:00:00"/>
    <x v="118"/>
    <x v="2"/>
    <n v="778.32"/>
    <n v="4.7619047620000003"/>
    <n v="38.915999999999997"/>
    <n v="6.2"/>
    <n v="778.32"/>
    <x v="7"/>
    <n v="9"/>
    <x v="5"/>
  </r>
  <r>
    <s v="785-96-0615"/>
    <x v="2"/>
    <s v="Mandalay"/>
    <x v="0"/>
    <s v="Female"/>
    <x v="1"/>
    <n v="35.74"/>
    <n v="8"/>
    <n v="14.295999999999999"/>
    <n v="300.21600000000001"/>
    <d v="2019-02-17T00:00:00"/>
    <x v="311"/>
    <x v="0"/>
    <n v="285.92"/>
    <n v="4.7619047620000003"/>
    <n v="14.295999999999999"/>
    <n v="4.9000000000000004"/>
    <n v="285.92"/>
    <x v="4"/>
    <n v="2"/>
    <x v="2"/>
  </r>
  <r>
    <s v="406-46-7107"/>
    <x v="0"/>
    <s v="Yangon"/>
    <x v="1"/>
    <s v="Female"/>
    <x v="2"/>
    <n v="96.52"/>
    <n v="6"/>
    <n v="28.956"/>
    <n v="608.07600000000002"/>
    <d v="2019-11-01T00:00:00"/>
    <x v="408"/>
    <x v="1"/>
    <n v="579.12"/>
    <n v="4.7619047620000003"/>
    <n v="28.956"/>
    <n v="4.5"/>
    <n v="579.12"/>
    <x v="10"/>
    <n v="11"/>
    <x v="3"/>
  </r>
  <r>
    <s v="250-17-5703"/>
    <x v="0"/>
    <s v="Yangon"/>
    <x v="0"/>
    <s v="Male"/>
    <x v="4"/>
    <n v="18.850000000000001"/>
    <n v="10"/>
    <n v="9.4250000000000007"/>
    <n v="197.92500000000001"/>
    <d v="2019-02-27T00:00:00"/>
    <x v="202"/>
    <x v="0"/>
    <n v="188.5"/>
    <n v="4.7619047620000003"/>
    <n v="9.4250000000000007"/>
    <n v="5.6"/>
    <n v="188.5"/>
    <x v="4"/>
    <n v="2"/>
    <x v="0"/>
  </r>
  <r>
    <s v="156-95-3964"/>
    <x v="0"/>
    <s v="Yangon"/>
    <x v="1"/>
    <s v="Female"/>
    <x v="4"/>
    <n v="55.39"/>
    <n v="4"/>
    <n v="11.077999999999999"/>
    <n v="232.63800000000001"/>
    <d v="2019-03-25T00:00:00"/>
    <x v="332"/>
    <x v="0"/>
    <n v="221.56"/>
    <n v="4.7619047620000003"/>
    <n v="11.077999999999999"/>
    <n v="8"/>
    <n v="221.56"/>
    <x v="2"/>
    <n v="3"/>
    <x v="4"/>
  </r>
  <r>
    <s v="842-40-8179"/>
    <x v="2"/>
    <s v="Mandalay"/>
    <x v="0"/>
    <s v="Female"/>
    <x v="4"/>
    <n v="77.2"/>
    <n v="10"/>
    <n v="38.6"/>
    <n v="810.6"/>
    <d v="2019-11-02T00:00:00"/>
    <x v="440"/>
    <x v="2"/>
    <n v="772"/>
    <n v="4.7619047620000003"/>
    <n v="38.6"/>
    <n v="5.6"/>
    <n v="772"/>
    <x v="10"/>
    <n v="11"/>
    <x v="1"/>
  </r>
  <r>
    <s v="525-09-8450"/>
    <x v="2"/>
    <s v="Mandalay"/>
    <x v="1"/>
    <s v="Male"/>
    <x v="1"/>
    <n v="72.13"/>
    <n v="10"/>
    <n v="36.064999999999998"/>
    <n v="757.36500000000001"/>
    <d v="2019-01-31T00:00:00"/>
    <x v="290"/>
    <x v="2"/>
    <n v="721.3"/>
    <n v="4.7619047620000003"/>
    <n v="36.064999999999998"/>
    <n v="4.2"/>
    <n v="721.3"/>
    <x v="3"/>
    <n v="1"/>
    <x v="6"/>
  </r>
  <r>
    <s v="410-67-1709"/>
    <x v="0"/>
    <s v="Yangon"/>
    <x v="0"/>
    <s v="Female"/>
    <x v="5"/>
    <n v="63.88"/>
    <n v="8"/>
    <n v="25.552"/>
    <n v="536.59199999999998"/>
    <d v="2019-01-20T00:00:00"/>
    <x v="449"/>
    <x v="0"/>
    <n v="511.04"/>
    <n v="4.7619047620000003"/>
    <n v="25.552"/>
    <n v="9.9"/>
    <n v="511.04"/>
    <x v="3"/>
    <n v="1"/>
    <x v="2"/>
  </r>
  <r>
    <s v="587-73-4862"/>
    <x v="0"/>
    <s v="Yangon"/>
    <x v="0"/>
    <s v="Female"/>
    <x v="0"/>
    <n v="10.69"/>
    <n v="5"/>
    <n v="2.6724999999999999"/>
    <n v="56.122500000000002"/>
    <d v="2019-03-26T00:00:00"/>
    <x v="383"/>
    <x v="0"/>
    <n v="53.45"/>
    <n v="4.7619047620000003"/>
    <n v="2.6724999999999999"/>
    <n v="7.6"/>
    <n v="53.449999999999996"/>
    <x v="2"/>
    <n v="3"/>
    <x v="5"/>
  </r>
  <r>
    <s v="787-87-2010"/>
    <x v="0"/>
    <s v="Yangon"/>
    <x v="0"/>
    <s v="Male"/>
    <x v="0"/>
    <n v="55.5"/>
    <n v="4"/>
    <n v="11.1"/>
    <n v="233.1"/>
    <d v="2019-01-20T00:00:00"/>
    <x v="74"/>
    <x v="2"/>
    <n v="222"/>
    <n v="4.7619047620000003"/>
    <n v="11.1"/>
    <n v="6.6"/>
    <n v="222"/>
    <x v="3"/>
    <n v="1"/>
    <x v="2"/>
  </r>
  <r>
    <s v="593-14-4239"/>
    <x v="2"/>
    <s v="Mandalay"/>
    <x v="1"/>
    <s v="Female"/>
    <x v="2"/>
    <n v="95.46"/>
    <n v="8"/>
    <n v="38.183999999999997"/>
    <n v="801.86400000000003"/>
    <d v="2019-05-03T00:00:00"/>
    <x v="138"/>
    <x v="0"/>
    <n v="763.68"/>
    <n v="4.7619047620000003"/>
    <n v="38.183999999999997"/>
    <n v="4.7"/>
    <n v="763.68"/>
    <x v="0"/>
    <n v="5"/>
    <x v="3"/>
  </r>
  <r>
    <s v="801-88-0346"/>
    <x v="1"/>
    <s v="Naypyitaw"/>
    <x v="1"/>
    <s v="Female"/>
    <x v="5"/>
    <n v="76.06"/>
    <n v="3"/>
    <n v="11.409000000000001"/>
    <n v="239.589"/>
    <d v="2019-05-01T00:00:00"/>
    <x v="450"/>
    <x v="2"/>
    <n v="228.18"/>
    <n v="4.7619047620000003"/>
    <n v="11.409000000000001"/>
    <n v="9.8000000000000007"/>
    <n v="228.18"/>
    <x v="0"/>
    <n v="5"/>
    <x v="0"/>
  </r>
  <r>
    <s v="388-76-2555"/>
    <x v="2"/>
    <s v="Mandalay"/>
    <x v="1"/>
    <s v="Male"/>
    <x v="3"/>
    <n v="13.69"/>
    <n v="6"/>
    <n v="4.1070000000000002"/>
    <n v="86.247"/>
    <d v="2019-02-13T00:00:00"/>
    <x v="451"/>
    <x v="1"/>
    <n v="82.14"/>
    <n v="4.7619047620000003"/>
    <n v="4.1070000000000002"/>
    <n v="6.3"/>
    <n v="82.14"/>
    <x v="4"/>
    <n v="2"/>
    <x v="0"/>
  </r>
  <r>
    <s v="711-31-1234"/>
    <x v="2"/>
    <s v="Mandalay"/>
    <x v="1"/>
    <s v="Female"/>
    <x v="1"/>
    <n v="95.64"/>
    <n v="4"/>
    <n v="19.128"/>
    <n v="401.68799999999999"/>
    <d v="2019-03-16T00:00:00"/>
    <x v="370"/>
    <x v="1"/>
    <n v="382.56"/>
    <n v="4.7619047620000003"/>
    <n v="19.128"/>
    <n v="7.9"/>
    <n v="382.56"/>
    <x v="2"/>
    <n v="3"/>
    <x v="1"/>
  </r>
  <r>
    <s v="886-54-6089"/>
    <x v="0"/>
    <s v="Yangon"/>
    <x v="1"/>
    <s v="Female"/>
    <x v="2"/>
    <n v="11.43"/>
    <n v="6"/>
    <n v="3.4289999999999998"/>
    <n v="72.009"/>
    <d v="2019-01-15T00:00:00"/>
    <x v="45"/>
    <x v="1"/>
    <n v="68.58"/>
    <n v="4.7619047620000003"/>
    <n v="3.4289999999999998"/>
    <n v="7.7"/>
    <n v="68.58"/>
    <x v="3"/>
    <n v="1"/>
    <x v="5"/>
  </r>
  <r>
    <s v="707-32-7409"/>
    <x v="2"/>
    <s v="Mandalay"/>
    <x v="0"/>
    <s v="Female"/>
    <x v="3"/>
    <n v="95.54"/>
    <n v="4"/>
    <n v="19.108000000000001"/>
    <n v="401.26799999999997"/>
    <d v="2019-02-26T00:00:00"/>
    <x v="452"/>
    <x v="0"/>
    <n v="382.16"/>
    <n v="4.7619047620000003"/>
    <n v="19.108000000000001"/>
    <n v="4.5"/>
    <n v="382.16"/>
    <x v="4"/>
    <n v="2"/>
    <x v="5"/>
  </r>
  <r>
    <s v="759-98-4285"/>
    <x v="1"/>
    <s v="Naypyitaw"/>
    <x v="0"/>
    <s v="Female"/>
    <x v="0"/>
    <n v="85.87"/>
    <n v="7"/>
    <n v="30.054500000000001"/>
    <n v="631.14449999999999"/>
    <d v="2019-02-27T00:00:00"/>
    <x v="54"/>
    <x v="2"/>
    <n v="601.09"/>
    <n v="4.7619047620000003"/>
    <n v="30.054500000000001"/>
    <n v="8"/>
    <n v="601.09"/>
    <x v="4"/>
    <n v="2"/>
    <x v="0"/>
  </r>
  <r>
    <s v="201-63-8275"/>
    <x v="1"/>
    <s v="Naypyitaw"/>
    <x v="0"/>
    <s v="Female"/>
    <x v="3"/>
    <n v="67.989999999999995"/>
    <n v="7"/>
    <n v="23.796500000000002"/>
    <n v="499.72649999999999"/>
    <d v="2019-02-17T00:00:00"/>
    <x v="453"/>
    <x v="0"/>
    <n v="475.93"/>
    <n v="4.7619047620000003"/>
    <n v="23.796500000000002"/>
    <n v="5.7"/>
    <n v="475.92999999999995"/>
    <x v="4"/>
    <n v="2"/>
    <x v="2"/>
  </r>
  <r>
    <s v="471-06-8611"/>
    <x v="1"/>
    <s v="Naypyitaw"/>
    <x v="1"/>
    <s v="Female"/>
    <x v="4"/>
    <n v="52.42"/>
    <n v="1"/>
    <n v="2.621"/>
    <n v="55.040999999999997"/>
    <d v="2019-06-02T00:00:00"/>
    <x v="417"/>
    <x v="2"/>
    <n v="52.42"/>
    <n v="4.7619047620000003"/>
    <n v="2.621"/>
    <n v="6.3"/>
    <n v="52.42"/>
    <x v="6"/>
    <n v="6"/>
    <x v="2"/>
  </r>
  <r>
    <s v="200-16-5952"/>
    <x v="1"/>
    <s v="Naypyitaw"/>
    <x v="0"/>
    <s v="Male"/>
    <x v="4"/>
    <n v="65.650000000000006"/>
    <n v="2"/>
    <n v="6.5650000000000004"/>
    <n v="137.86500000000001"/>
    <d v="2019-01-17T00:00:00"/>
    <x v="252"/>
    <x v="1"/>
    <n v="131.30000000000001"/>
    <n v="4.7619047620000003"/>
    <n v="6.5650000000000004"/>
    <n v="6"/>
    <n v="131.30000000000001"/>
    <x v="3"/>
    <n v="1"/>
    <x v="6"/>
  </r>
  <r>
    <s v="120-54-2248"/>
    <x v="2"/>
    <s v="Mandalay"/>
    <x v="1"/>
    <s v="Female"/>
    <x v="4"/>
    <n v="28.86"/>
    <n v="5"/>
    <n v="7.2149999999999999"/>
    <n v="151.51499999999999"/>
    <d v="2019-01-22T00:00:00"/>
    <x v="182"/>
    <x v="2"/>
    <n v="144.30000000000001"/>
    <n v="4.7619047620000003"/>
    <n v="7.2149999999999999"/>
    <n v="8"/>
    <n v="144.30000000000001"/>
    <x v="3"/>
    <n v="1"/>
    <x v="5"/>
  </r>
  <r>
    <s v="102-77-2261"/>
    <x v="1"/>
    <s v="Naypyitaw"/>
    <x v="0"/>
    <s v="Male"/>
    <x v="0"/>
    <n v="65.31"/>
    <n v="7"/>
    <n v="22.858499999999999"/>
    <n v="480.02850000000001"/>
    <d v="2019-05-03T00:00:00"/>
    <x v="454"/>
    <x v="2"/>
    <n v="457.17"/>
    <n v="4.7619047620000003"/>
    <n v="22.858499999999999"/>
    <n v="4.2"/>
    <n v="457.17"/>
    <x v="0"/>
    <n v="5"/>
    <x v="3"/>
  </r>
  <r>
    <s v="875-31-8302"/>
    <x v="2"/>
    <s v="Mandalay"/>
    <x v="1"/>
    <s v="Male"/>
    <x v="3"/>
    <n v="93.38"/>
    <n v="1"/>
    <n v="4.6689999999999996"/>
    <n v="98.049000000000007"/>
    <d v="2019-03-01T00:00:00"/>
    <x v="270"/>
    <x v="1"/>
    <n v="93.38"/>
    <n v="4.7619047620000003"/>
    <n v="4.6689999999999996"/>
    <n v="9.6"/>
    <n v="93.38"/>
    <x v="2"/>
    <n v="3"/>
    <x v="3"/>
  </r>
  <r>
    <s v="102-06-2002"/>
    <x v="1"/>
    <s v="Naypyitaw"/>
    <x v="0"/>
    <s v="Male"/>
    <x v="3"/>
    <n v="25.25"/>
    <n v="5"/>
    <n v="6.3125"/>
    <n v="132.5625"/>
    <d v="2019-03-20T00:00:00"/>
    <x v="455"/>
    <x v="1"/>
    <n v="126.25"/>
    <n v="4.7619047620000003"/>
    <n v="6.3125"/>
    <n v="6.1"/>
    <n v="126.25"/>
    <x v="2"/>
    <n v="3"/>
    <x v="0"/>
  </r>
  <r>
    <s v="457-94-0464"/>
    <x v="2"/>
    <s v="Mandalay"/>
    <x v="0"/>
    <s v="Male"/>
    <x v="1"/>
    <n v="87.87"/>
    <n v="9"/>
    <n v="39.541499999999999"/>
    <n v="830.37149999999997"/>
    <d v="2019-01-31T00:00:00"/>
    <x v="456"/>
    <x v="0"/>
    <n v="790.83"/>
    <n v="4.7619047620000003"/>
    <n v="39.541499999999999"/>
    <n v="5.6"/>
    <n v="790.83"/>
    <x v="3"/>
    <n v="1"/>
    <x v="6"/>
  </r>
  <r>
    <s v="629-42-4133"/>
    <x v="1"/>
    <s v="Naypyitaw"/>
    <x v="1"/>
    <s v="Male"/>
    <x v="0"/>
    <n v="21.8"/>
    <n v="8"/>
    <n v="8.7200000000000006"/>
    <n v="183.12"/>
    <d v="2019-02-19T00:00:00"/>
    <x v="225"/>
    <x v="1"/>
    <n v="174.4"/>
    <n v="4.7619047620000003"/>
    <n v="8.7200000000000006"/>
    <n v="8.3000000000000007"/>
    <n v="174.4"/>
    <x v="4"/>
    <n v="2"/>
    <x v="5"/>
  </r>
  <r>
    <s v="534-53-3526"/>
    <x v="0"/>
    <s v="Yangon"/>
    <x v="1"/>
    <s v="Female"/>
    <x v="3"/>
    <n v="94.76"/>
    <n v="4"/>
    <n v="18.952000000000002"/>
    <n v="397.99200000000002"/>
    <d v="2019-11-02T00:00:00"/>
    <x v="432"/>
    <x v="0"/>
    <n v="379.04"/>
    <n v="4.7619047620000003"/>
    <n v="18.952000000000002"/>
    <n v="7.8"/>
    <n v="379.04"/>
    <x v="10"/>
    <n v="11"/>
    <x v="1"/>
  </r>
  <r>
    <s v="307-04-2070"/>
    <x v="0"/>
    <s v="Yangon"/>
    <x v="0"/>
    <s v="Female"/>
    <x v="5"/>
    <n v="30.62"/>
    <n v="1"/>
    <n v="1.5309999999999999"/>
    <n v="32.151000000000003"/>
    <d v="2019-05-02T00:00:00"/>
    <x v="341"/>
    <x v="2"/>
    <n v="30.62"/>
    <n v="4.7619047620000003"/>
    <n v="1.5309999999999999"/>
    <n v="4.0999999999999996"/>
    <n v="30.62"/>
    <x v="0"/>
    <n v="5"/>
    <x v="6"/>
  </r>
  <r>
    <s v="468-99-7231"/>
    <x v="1"/>
    <s v="Naypyitaw"/>
    <x v="1"/>
    <s v="Female"/>
    <x v="2"/>
    <n v="44.01"/>
    <n v="8"/>
    <n v="17.603999999999999"/>
    <n v="369.68400000000003"/>
    <d v="2019-03-03T00:00:00"/>
    <x v="24"/>
    <x v="1"/>
    <n v="352.08"/>
    <n v="4.7619047620000003"/>
    <n v="17.603999999999999"/>
    <n v="8.8000000000000007"/>
    <n v="352.08"/>
    <x v="2"/>
    <n v="3"/>
    <x v="2"/>
  </r>
  <r>
    <s v="516-77-6464"/>
    <x v="1"/>
    <s v="Naypyitaw"/>
    <x v="0"/>
    <s v="Female"/>
    <x v="0"/>
    <n v="10.16"/>
    <n v="5"/>
    <n v="2.54"/>
    <n v="53.34"/>
    <d v="2019-02-24T00:00:00"/>
    <x v="0"/>
    <x v="0"/>
    <n v="50.8"/>
    <n v="4.7619047620000003"/>
    <n v="2.54"/>
    <n v="4.0999999999999996"/>
    <n v="50.8"/>
    <x v="4"/>
    <n v="2"/>
    <x v="2"/>
  </r>
  <r>
    <s v="404-91-5964"/>
    <x v="0"/>
    <s v="Yangon"/>
    <x v="1"/>
    <s v="Male"/>
    <x v="1"/>
    <n v="74.58"/>
    <n v="7"/>
    <n v="26.103000000000002"/>
    <n v="548.16300000000001"/>
    <d v="2019-04-02T00:00:00"/>
    <x v="457"/>
    <x v="2"/>
    <n v="522.05999999999995"/>
    <n v="4.7619047620000003"/>
    <n v="26.103000000000002"/>
    <n v="9"/>
    <n v="522.05999999999995"/>
    <x v="11"/>
    <n v="4"/>
    <x v="5"/>
  </r>
  <r>
    <s v="886-77-9084"/>
    <x v="1"/>
    <s v="Naypyitaw"/>
    <x v="1"/>
    <s v="Male"/>
    <x v="1"/>
    <n v="71.89"/>
    <n v="8"/>
    <n v="28.756"/>
    <n v="603.87599999999998"/>
    <d v="2019-02-19T00:00:00"/>
    <x v="458"/>
    <x v="0"/>
    <n v="575.12"/>
    <n v="4.7619047620000003"/>
    <n v="28.756"/>
    <n v="5.5"/>
    <n v="575.12"/>
    <x v="4"/>
    <n v="2"/>
    <x v="5"/>
  </r>
  <r>
    <s v="790-38-4466"/>
    <x v="1"/>
    <s v="Naypyitaw"/>
    <x v="1"/>
    <s v="Female"/>
    <x v="0"/>
    <n v="10.99"/>
    <n v="5"/>
    <n v="2.7475000000000001"/>
    <n v="57.697499999999998"/>
    <d v="2019-01-23T00:00:00"/>
    <x v="392"/>
    <x v="2"/>
    <n v="54.95"/>
    <n v="4.7619047620000003"/>
    <n v="2.7475000000000001"/>
    <n v="9.3000000000000007"/>
    <n v="54.95"/>
    <x v="3"/>
    <n v="1"/>
    <x v="0"/>
  </r>
  <r>
    <s v="704-10-4056"/>
    <x v="1"/>
    <s v="Naypyitaw"/>
    <x v="0"/>
    <s v="Male"/>
    <x v="0"/>
    <n v="60.47"/>
    <n v="3"/>
    <n v="9.0704999999999991"/>
    <n v="190.48050000000001"/>
    <d v="2019-01-14T00:00:00"/>
    <x v="60"/>
    <x v="2"/>
    <n v="181.41"/>
    <n v="4.7619047620000003"/>
    <n v="9.0704999999999991"/>
    <n v="5.6"/>
    <n v="181.41"/>
    <x v="3"/>
    <n v="1"/>
    <x v="4"/>
  </r>
  <r>
    <s v="497-37-6538"/>
    <x v="0"/>
    <s v="Yangon"/>
    <x v="1"/>
    <s v="Male"/>
    <x v="3"/>
    <n v="58.91"/>
    <n v="7"/>
    <n v="20.618500000000001"/>
    <n v="432.98849999999999"/>
    <d v="2019-01-17T00:00:00"/>
    <x v="459"/>
    <x v="0"/>
    <n v="412.37"/>
    <n v="4.7619047620000003"/>
    <n v="20.618500000000001"/>
    <n v="9.6999999999999993"/>
    <n v="412.37"/>
    <x v="3"/>
    <n v="1"/>
    <x v="6"/>
  </r>
  <r>
    <s v="651-96-5970"/>
    <x v="0"/>
    <s v="Yangon"/>
    <x v="1"/>
    <s v="Male"/>
    <x v="5"/>
    <n v="46.41"/>
    <n v="1"/>
    <n v="2.3205"/>
    <n v="48.730499999999999"/>
    <d v="2019-03-03T00:00:00"/>
    <x v="460"/>
    <x v="2"/>
    <n v="46.41"/>
    <n v="4.7619047620000003"/>
    <n v="2.3205"/>
    <n v="4"/>
    <n v="46.41"/>
    <x v="2"/>
    <n v="3"/>
    <x v="2"/>
  </r>
  <r>
    <s v="400-80-4065"/>
    <x v="1"/>
    <s v="Naypyitaw"/>
    <x v="0"/>
    <s v="Male"/>
    <x v="0"/>
    <n v="68.55"/>
    <n v="4"/>
    <n v="13.71"/>
    <n v="287.91000000000003"/>
    <d v="2019-02-15T00:00:00"/>
    <x v="277"/>
    <x v="2"/>
    <n v="274.2"/>
    <n v="4.7619047620000003"/>
    <n v="13.71"/>
    <n v="9.1999999999999993"/>
    <n v="274.2"/>
    <x v="4"/>
    <n v="2"/>
    <x v="3"/>
  </r>
  <r>
    <s v="744-16-7898"/>
    <x v="2"/>
    <s v="Mandalay"/>
    <x v="1"/>
    <s v="Female"/>
    <x v="2"/>
    <n v="97.37"/>
    <n v="10"/>
    <n v="48.685000000000002"/>
    <n v="1022.385"/>
    <d v="2019-01-15T00:00:00"/>
    <x v="128"/>
    <x v="2"/>
    <n v="973.7"/>
    <n v="4.7619047620000003"/>
    <n v="48.685000000000002"/>
    <n v="4.9000000000000004"/>
    <n v="973.7"/>
    <x v="3"/>
    <n v="1"/>
    <x v="5"/>
  </r>
  <r>
    <s v="263-12-5321"/>
    <x v="0"/>
    <s v="Yangon"/>
    <x v="0"/>
    <s v="Male"/>
    <x v="1"/>
    <n v="92.6"/>
    <n v="7"/>
    <n v="32.409999999999997"/>
    <n v="680.61"/>
    <d v="2019-02-27T00:00:00"/>
    <x v="299"/>
    <x v="2"/>
    <n v="648.20000000000005"/>
    <n v="4.7619047620000003"/>
    <n v="32.409999999999997"/>
    <n v="9.3000000000000007"/>
    <n v="648.19999999999993"/>
    <x v="4"/>
    <n v="2"/>
    <x v="0"/>
  </r>
  <r>
    <s v="702-72-0487"/>
    <x v="0"/>
    <s v="Yangon"/>
    <x v="1"/>
    <s v="Female"/>
    <x v="1"/>
    <n v="46.61"/>
    <n v="2"/>
    <n v="4.6609999999999996"/>
    <n v="97.881"/>
    <d v="2019-02-26T00:00:00"/>
    <x v="35"/>
    <x v="2"/>
    <n v="93.22"/>
    <n v="4.7619047620000003"/>
    <n v="4.6609999999999996"/>
    <n v="6.6"/>
    <n v="93.22"/>
    <x v="4"/>
    <n v="2"/>
    <x v="5"/>
  </r>
  <r>
    <s v="605-83-1050"/>
    <x v="2"/>
    <s v="Mandalay"/>
    <x v="1"/>
    <s v="Male"/>
    <x v="5"/>
    <n v="27.18"/>
    <n v="2"/>
    <n v="2.718"/>
    <n v="57.078000000000003"/>
    <d v="2019-03-15T00:00:00"/>
    <x v="461"/>
    <x v="0"/>
    <n v="54.36"/>
    <n v="4.7619047620000003"/>
    <n v="2.718"/>
    <n v="4.3"/>
    <n v="54.36"/>
    <x v="2"/>
    <n v="3"/>
    <x v="3"/>
  </r>
  <r>
    <s v="443-60-9639"/>
    <x v="1"/>
    <s v="Naypyitaw"/>
    <x v="0"/>
    <s v="Female"/>
    <x v="2"/>
    <n v="60.87"/>
    <n v="1"/>
    <n v="3.0434999999999999"/>
    <n v="63.913499999999999"/>
    <d v="2019-01-24T00:00:00"/>
    <x v="38"/>
    <x v="1"/>
    <n v="60.87"/>
    <n v="4.7619047620000003"/>
    <n v="3.0434999999999999"/>
    <n v="5.5"/>
    <n v="60.87"/>
    <x v="3"/>
    <n v="1"/>
    <x v="6"/>
  </r>
  <r>
    <s v="864-24-7918"/>
    <x v="0"/>
    <s v="Yangon"/>
    <x v="0"/>
    <s v="Female"/>
    <x v="3"/>
    <n v="24.49"/>
    <n v="10"/>
    <n v="12.244999999999999"/>
    <n v="257.14499999999998"/>
    <d v="2019-02-22T00:00:00"/>
    <x v="459"/>
    <x v="1"/>
    <n v="244.9"/>
    <n v="4.7619047620000003"/>
    <n v="12.244999999999999"/>
    <n v="8.1"/>
    <n v="244.89999999999998"/>
    <x v="4"/>
    <n v="2"/>
    <x v="3"/>
  </r>
  <r>
    <s v="359-94-5395"/>
    <x v="2"/>
    <s v="Mandalay"/>
    <x v="1"/>
    <s v="Male"/>
    <x v="0"/>
    <n v="92.78"/>
    <n v="1"/>
    <n v="4.6390000000000002"/>
    <n v="97.418999999999997"/>
    <d v="2019-03-15T00:00:00"/>
    <x v="155"/>
    <x v="2"/>
    <n v="92.78"/>
    <n v="4.7619047620000003"/>
    <n v="4.6390000000000002"/>
    <n v="9.8000000000000007"/>
    <n v="92.78"/>
    <x v="2"/>
    <n v="3"/>
    <x v="3"/>
  </r>
  <r>
    <s v="401-09-4232"/>
    <x v="1"/>
    <s v="Naypyitaw"/>
    <x v="0"/>
    <s v="Male"/>
    <x v="2"/>
    <n v="86.69"/>
    <n v="5"/>
    <n v="21.672499999999999"/>
    <n v="455.1225"/>
    <d v="2019-11-02T00:00:00"/>
    <x v="462"/>
    <x v="0"/>
    <n v="433.45"/>
    <n v="4.7619047620000003"/>
    <n v="21.672499999999999"/>
    <n v="9.4"/>
    <n v="433.45"/>
    <x v="10"/>
    <n v="11"/>
    <x v="1"/>
  </r>
  <r>
    <s v="751-15-6198"/>
    <x v="2"/>
    <s v="Mandalay"/>
    <x v="1"/>
    <s v="Male"/>
    <x v="3"/>
    <n v="23.01"/>
    <n v="6"/>
    <n v="6.9029999999999996"/>
    <n v="144.96299999999999"/>
    <d v="2019-12-01T00:00:00"/>
    <x v="463"/>
    <x v="0"/>
    <n v="138.06"/>
    <n v="4.7619047620000003"/>
    <n v="6.9029999999999996"/>
    <n v="7.9"/>
    <n v="138.06"/>
    <x v="8"/>
    <n v="12"/>
    <x v="2"/>
  </r>
  <r>
    <s v="324-41-6833"/>
    <x v="1"/>
    <s v="Naypyitaw"/>
    <x v="0"/>
    <s v="Female"/>
    <x v="1"/>
    <n v="30.2"/>
    <n v="8"/>
    <n v="12.08"/>
    <n v="253.68"/>
    <d v="2019-03-03T00:00:00"/>
    <x v="171"/>
    <x v="0"/>
    <n v="241.6"/>
    <n v="4.7619047620000003"/>
    <n v="12.08"/>
    <n v="5.0999999999999996"/>
    <n v="241.6"/>
    <x v="2"/>
    <n v="3"/>
    <x v="2"/>
  </r>
  <r>
    <s v="474-33-8305"/>
    <x v="1"/>
    <s v="Naypyitaw"/>
    <x v="0"/>
    <s v="Male"/>
    <x v="5"/>
    <n v="67.39"/>
    <n v="7"/>
    <n v="23.586500000000001"/>
    <n v="495.31650000000002"/>
    <d v="2019-03-23T00:00:00"/>
    <x v="2"/>
    <x v="0"/>
    <n v="471.73"/>
    <n v="4.7619047620000003"/>
    <n v="23.586500000000001"/>
    <n v="6.9"/>
    <n v="471.73"/>
    <x v="2"/>
    <n v="3"/>
    <x v="1"/>
  </r>
  <r>
    <s v="759-29-9521"/>
    <x v="0"/>
    <s v="Yangon"/>
    <x v="0"/>
    <s v="Female"/>
    <x v="5"/>
    <n v="48.96"/>
    <n v="9"/>
    <n v="22.032"/>
    <n v="462.67200000000003"/>
    <d v="2019-04-03T00:00:00"/>
    <x v="94"/>
    <x v="1"/>
    <n v="440.64"/>
    <n v="4.7619047620000003"/>
    <n v="22.032"/>
    <n v="8"/>
    <n v="440.64"/>
    <x v="11"/>
    <n v="4"/>
    <x v="0"/>
  </r>
  <r>
    <s v="831-81-6575"/>
    <x v="2"/>
    <s v="Mandalay"/>
    <x v="0"/>
    <s v="Female"/>
    <x v="1"/>
    <n v="75.59"/>
    <n v="9"/>
    <n v="34.015500000000003"/>
    <n v="714.32550000000003"/>
    <d v="2019-02-23T00:00:00"/>
    <x v="289"/>
    <x v="1"/>
    <n v="680.31"/>
    <n v="4.7619047620000003"/>
    <n v="34.015500000000003"/>
    <n v="8"/>
    <n v="680.31000000000006"/>
    <x v="4"/>
    <n v="2"/>
    <x v="1"/>
  </r>
  <r>
    <s v="220-68-6701"/>
    <x v="0"/>
    <s v="Yangon"/>
    <x v="1"/>
    <s v="Female"/>
    <x v="2"/>
    <n v="77.47"/>
    <n v="4"/>
    <n v="15.494"/>
    <n v="325.37400000000002"/>
    <d v="2019-03-17T00:00:00"/>
    <x v="345"/>
    <x v="1"/>
    <n v="309.88"/>
    <n v="4.7619047620000003"/>
    <n v="15.494"/>
    <n v="4.2"/>
    <n v="309.88"/>
    <x v="2"/>
    <n v="3"/>
    <x v="2"/>
  </r>
  <r>
    <s v="618-34-8551"/>
    <x v="0"/>
    <s v="Yangon"/>
    <x v="1"/>
    <s v="Female"/>
    <x v="3"/>
    <n v="93.18"/>
    <n v="2"/>
    <n v="9.3179999999999996"/>
    <n v="195.678"/>
    <d v="2019-01-16T00:00:00"/>
    <x v="464"/>
    <x v="2"/>
    <n v="186.36"/>
    <n v="4.7619047620000003"/>
    <n v="9.3179999999999996"/>
    <n v="8.5"/>
    <n v="186.36"/>
    <x v="3"/>
    <n v="1"/>
    <x v="0"/>
  </r>
  <r>
    <s v="257-60-7754"/>
    <x v="0"/>
    <s v="Yangon"/>
    <x v="1"/>
    <s v="Female"/>
    <x v="1"/>
    <n v="50.23"/>
    <n v="4"/>
    <n v="10.045999999999999"/>
    <n v="210.96600000000001"/>
    <d v="2019-08-01T00:00:00"/>
    <x v="465"/>
    <x v="1"/>
    <n v="200.92"/>
    <n v="4.7619047620000003"/>
    <n v="10.045999999999999"/>
    <n v="9"/>
    <n v="200.92"/>
    <x v="1"/>
    <n v="8"/>
    <x v="6"/>
  </r>
  <r>
    <s v="559-61-5987"/>
    <x v="2"/>
    <s v="Mandalay"/>
    <x v="1"/>
    <s v="Female"/>
    <x v="0"/>
    <n v="17.75"/>
    <n v="1"/>
    <n v="0.88749999999999996"/>
    <n v="18.637499999999999"/>
    <d v="2019-01-14T00:00:00"/>
    <x v="440"/>
    <x v="1"/>
    <n v="17.75"/>
    <n v="4.7619047620000003"/>
    <n v="0.88749999999999996"/>
    <n v="8.6"/>
    <n v="17.75"/>
    <x v="3"/>
    <n v="1"/>
    <x v="4"/>
  </r>
  <r>
    <s v="189-55-2313"/>
    <x v="1"/>
    <s v="Naypyitaw"/>
    <x v="1"/>
    <s v="Female"/>
    <x v="5"/>
    <n v="62.18"/>
    <n v="10"/>
    <n v="31.09"/>
    <n v="652.89"/>
    <d v="2019-01-31T00:00:00"/>
    <x v="373"/>
    <x v="0"/>
    <n v="621.79999999999995"/>
    <n v="4.7619047620000003"/>
    <n v="31.09"/>
    <n v="6"/>
    <n v="621.79999999999995"/>
    <x v="3"/>
    <n v="1"/>
    <x v="6"/>
  </r>
  <r>
    <s v="565-91-4567"/>
    <x v="2"/>
    <s v="Mandalay"/>
    <x v="1"/>
    <s v="Male"/>
    <x v="0"/>
    <n v="10.75"/>
    <n v="8"/>
    <n v="4.3"/>
    <n v="90.3"/>
    <d v="2019-03-15T00:00:00"/>
    <x v="242"/>
    <x v="0"/>
    <n v="86"/>
    <n v="4.7619047620000003"/>
    <n v="4.3"/>
    <n v="6.2"/>
    <n v="86"/>
    <x v="2"/>
    <n v="3"/>
    <x v="3"/>
  </r>
  <r>
    <s v="380-60-5336"/>
    <x v="0"/>
    <s v="Yangon"/>
    <x v="1"/>
    <s v="Female"/>
    <x v="1"/>
    <n v="40.26"/>
    <n v="10"/>
    <n v="20.13"/>
    <n v="422.73"/>
    <d v="2019-02-24T00:00:00"/>
    <x v="191"/>
    <x v="2"/>
    <n v="402.6"/>
    <n v="4.7619047620000003"/>
    <n v="20.13"/>
    <n v="5"/>
    <n v="402.59999999999997"/>
    <x v="4"/>
    <n v="2"/>
    <x v="2"/>
  </r>
  <r>
    <s v="815-04-6282"/>
    <x v="1"/>
    <s v="Naypyitaw"/>
    <x v="0"/>
    <s v="Female"/>
    <x v="3"/>
    <n v="64.97"/>
    <n v="5"/>
    <n v="16.2425"/>
    <n v="341.09249999999997"/>
    <d v="2019-08-02T00:00:00"/>
    <x v="299"/>
    <x v="2"/>
    <n v="324.85000000000002"/>
    <n v="4.7619047620000003"/>
    <n v="16.2425"/>
    <n v="6.5"/>
    <n v="324.85000000000002"/>
    <x v="1"/>
    <n v="8"/>
    <x v="3"/>
  </r>
  <r>
    <s v="674-56-6360"/>
    <x v="0"/>
    <s v="Yangon"/>
    <x v="1"/>
    <s v="Male"/>
    <x v="1"/>
    <n v="95.15"/>
    <n v="1"/>
    <n v="4.7575000000000003"/>
    <n v="99.907499999999999"/>
    <d v="2019-03-22T00:00:00"/>
    <x v="466"/>
    <x v="1"/>
    <n v="95.15"/>
    <n v="4.7619047620000003"/>
    <n v="4.7575000000000003"/>
    <n v="6"/>
    <n v="95.15"/>
    <x v="2"/>
    <n v="3"/>
    <x v="3"/>
  </r>
  <r>
    <s v="778-34-2523"/>
    <x v="0"/>
    <s v="Yangon"/>
    <x v="0"/>
    <s v="Female"/>
    <x v="1"/>
    <n v="48.62"/>
    <n v="8"/>
    <n v="19.448"/>
    <n v="408.40800000000002"/>
    <d v="2019-01-24T00:00:00"/>
    <x v="315"/>
    <x v="1"/>
    <n v="388.96"/>
    <n v="4.7619047620000003"/>
    <n v="19.448"/>
    <n v="5"/>
    <n v="388.96"/>
    <x v="3"/>
    <n v="1"/>
    <x v="6"/>
  </r>
  <r>
    <s v="499-27-7781"/>
    <x v="2"/>
    <s v="Mandalay"/>
    <x v="1"/>
    <s v="Female"/>
    <x v="4"/>
    <n v="53.21"/>
    <n v="8"/>
    <n v="21.283999999999999"/>
    <n v="446.964"/>
    <d v="2019-03-14T00:00:00"/>
    <x v="463"/>
    <x v="0"/>
    <n v="425.68"/>
    <n v="4.7619047620000003"/>
    <n v="21.283999999999999"/>
    <n v="5"/>
    <n v="425.68"/>
    <x v="2"/>
    <n v="3"/>
    <x v="6"/>
  </r>
  <r>
    <s v="477-59-2456"/>
    <x v="1"/>
    <s v="Naypyitaw"/>
    <x v="1"/>
    <s v="Female"/>
    <x v="5"/>
    <n v="45.44"/>
    <n v="7"/>
    <n v="15.904"/>
    <n v="333.98399999999998"/>
    <d v="2019-01-23T00:00:00"/>
    <x v="23"/>
    <x v="1"/>
    <n v="318.08"/>
    <n v="4.7619047620000003"/>
    <n v="15.904"/>
    <n v="9.1999999999999993"/>
    <n v="318.08"/>
    <x v="3"/>
    <n v="1"/>
    <x v="0"/>
  </r>
  <r>
    <s v="832-51-6761"/>
    <x v="0"/>
    <s v="Yangon"/>
    <x v="1"/>
    <s v="Male"/>
    <x v="4"/>
    <n v="33.880000000000003"/>
    <n v="8"/>
    <n v="13.552"/>
    <n v="284.59199999999998"/>
    <d v="2019-01-19T00:00:00"/>
    <x v="245"/>
    <x v="0"/>
    <n v="271.04000000000002"/>
    <n v="4.7619047620000003"/>
    <n v="13.552"/>
    <n v="9.6"/>
    <n v="271.04000000000002"/>
    <x v="3"/>
    <n v="1"/>
    <x v="1"/>
  </r>
  <r>
    <s v="869-11-3082"/>
    <x v="2"/>
    <s v="Mandalay"/>
    <x v="0"/>
    <s v="Male"/>
    <x v="0"/>
    <n v="96.16"/>
    <n v="4"/>
    <n v="19.231999999999999"/>
    <n v="403.87200000000001"/>
    <d v="2019-01-27T00:00:00"/>
    <x v="356"/>
    <x v="2"/>
    <n v="384.64"/>
    <n v="4.7619047620000003"/>
    <n v="19.231999999999999"/>
    <n v="8.4"/>
    <n v="384.64"/>
    <x v="3"/>
    <n v="1"/>
    <x v="2"/>
  </r>
  <r>
    <s v="190-59-3964"/>
    <x v="2"/>
    <s v="Mandalay"/>
    <x v="0"/>
    <s v="Male"/>
    <x v="4"/>
    <n v="47.16"/>
    <n v="5"/>
    <n v="11.79"/>
    <n v="247.59"/>
    <d v="2019-03-02T00:00:00"/>
    <x v="63"/>
    <x v="2"/>
    <n v="235.8"/>
    <n v="4.7619047620000003"/>
    <n v="11.79"/>
    <n v="6"/>
    <n v="235.79999999999998"/>
    <x v="2"/>
    <n v="3"/>
    <x v="1"/>
  </r>
  <r>
    <s v="366-43-6862"/>
    <x v="2"/>
    <s v="Mandalay"/>
    <x v="1"/>
    <s v="Male"/>
    <x v="1"/>
    <n v="52.89"/>
    <n v="4"/>
    <n v="10.577999999999999"/>
    <n v="222.13800000000001"/>
    <d v="2019-03-25T00:00:00"/>
    <x v="467"/>
    <x v="0"/>
    <n v="211.56"/>
    <n v="4.7619047620000003"/>
    <n v="10.577999999999999"/>
    <n v="6.7"/>
    <n v="211.56"/>
    <x v="2"/>
    <n v="3"/>
    <x v="4"/>
  </r>
  <r>
    <s v="186-43-8965"/>
    <x v="0"/>
    <s v="Yangon"/>
    <x v="0"/>
    <s v="Female"/>
    <x v="2"/>
    <n v="47.68"/>
    <n v="2"/>
    <n v="4.7679999999999998"/>
    <n v="100.128"/>
    <d v="2019-02-24T00:00:00"/>
    <x v="468"/>
    <x v="2"/>
    <n v="95.36"/>
    <n v="4.7619047620000003"/>
    <n v="4.7679999999999998"/>
    <n v="4.0999999999999996"/>
    <n v="95.36"/>
    <x v="4"/>
    <n v="2"/>
    <x v="2"/>
  </r>
  <r>
    <s v="784-21-9238"/>
    <x v="1"/>
    <s v="Naypyitaw"/>
    <x v="0"/>
    <s v="Male"/>
    <x v="3"/>
    <n v="10.17"/>
    <n v="1"/>
    <n v="0.50849999999999995"/>
    <n v="10.6785"/>
    <d v="2019-07-02T00:00:00"/>
    <x v="331"/>
    <x v="1"/>
    <n v="10.17"/>
    <n v="4.7619047620000003"/>
    <n v="0.50849999999999995"/>
    <n v="5.9"/>
    <n v="10.17"/>
    <x v="9"/>
    <n v="7"/>
    <x v="5"/>
  </r>
  <r>
    <s v="276-75-6884"/>
    <x v="0"/>
    <s v="Yangon"/>
    <x v="1"/>
    <s v="Female"/>
    <x v="0"/>
    <n v="68.709999999999994"/>
    <n v="3"/>
    <n v="10.3065"/>
    <n v="216.4365"/>
    <d v="2019-04-03T00:00:00"/>
    <x v="469"/>
    <x v="1"/>
    <n v="206.13"/>
    <n v="4.7619047620000003"/>
    <n v="10.3065"/>
    <n v="8.6999999999999993"/>
    <n v="206.13"/>
    <x v="11"/>
    <n v="4"/>
    <x v="0"/>
  </r>
  <r>
    <s v="109-86-4363"/>
    <x v="2"/>
    <s v="Mandalay"/>
    <x v="0"/>
    <s v="Female"/>
    <x v="3"/>
    <n v="60.08"/>
    <n v="7"/>
    <n v="21.027999999999999"/>
    <n v="441.58800000000002"/>
    <d v="2019-02-14T00:00:00"/>
    <x v="150"/>
    <x v="2"/>
    <n v="420.56"/>
    <n v="4.7619047620000003"/>
    <n v="21.027999999999999"/>
    <n v="4.5"/>
    <n v="420.56"/>
    <x v="4"/>
    <n v="2"/>
    <x v="6"/>
  </r>
  <r>
    <s v="569-76-2760"/>
    <x v="0"/>
    <s v="Yangon"/>
    <x v="0"/>
    <s v="Female"/>
    <x v="3"/>
    <n v="22.01"/>
    <n v="4"/>
    <n v="4.4020000000000001"/>
    <n v="92.441999999999993"/>
    <d v="2019-01-29T00:00:00"/>
    <x v="470"/>
    <x v="2"/>
    <n v="88.04"/>
    <n v="4.7619047620000003"/>
    <n v="4.4020000000000001"/>
    <n v="6.6"/>
    <n v="88.04"/>
    <x v="3"/>
    <n v="1"/>
    <x v="5"/>
  </r>
  <r>
    <s v="222-42-0244"/>
    <x v="2"/>
    <s v="Mandalay"/>
    <x v="0"/>
    <s v="Female"/>
    <x v="0"/>
    <n v="72.11"/>
    <n v="9"/>
    <n v="32.4495"/>
    <n v="681.43949999999995"/>
    <d v="2019-01-28T00:00:00"/>
    <x v="318"/>
    <x v="2"/>
    <n v="648.99"/>
    <n v="4.7619047620000003"/>
    <n v="32.4495"/>
    <n v="7.7"/>
    <n v="648.99"/>
    <x v="3"/>
    <n v="1"/>
    <x v="4"/>
  </r>
  <r>
    <s v="760-53-9233"/>
    <x v="0"/>
    <s v="Yangon"/>
    <x v="0"/>
    <s v="Male"/>
    <x v="5"/>
    <n v="41.28"/>
    <n v="3"/>
    <n v="6.1920000000000002"/>
    <n v="130.03200000000001"/>
    <d v="2019-03-26T00:00:00"/>
    <x v="78"/>
    <x v="2"/>
    <n v="123.84"/>
    <n v="4.7619047620000003"/>
    <n v="6.1920000000000002"/>
    <n v="8.5"/>
    <n v="123.84"/>
    <x v="2"/>
    <n v="3"/>
    <x v="5"/>
  </r>
  <r>
    <s v="538-22-0304"/>
    <x v="1"/>
    <s v="Naypyitaw"/>
    <x v="1"/>
    <s v="Male"/>
    <x v="1"/>
    <n v="64.95"/>
    <n v="10"/>
    <n v="32.475000000000001"/>
    <n v="681.97500000000002"/>
    <d v="2019-03-24T00:00:00"/>
    <x v="185"/>
    <x v="1"/>
    <n v="649.5"/>
    <n v="4.7619047620000003"/>
    <n v="32.475000000000001"/>
    <n v="5.2"/>
    <n v="649.5"/>
    <x v="2"/>
    <n v="3"/>
    <x v="2"/>
  </r>
  <r>
    <s v="416-17-9926"/>
    <x v="0"/>
    <s v="Yangon"/>
    <x v="0"/>
    <s v="Female"/>
    <x v="1"/>
    <n v="74.22"/>
    <n v="10"/>
    <n v="37.11"/>
    <n v="779.31"/>
    <d v="2019-01-01T00:00:00"/>
    <x v="51"/>
    <x v="2"/>
    <n v="742.2"/>
    <n v="4.7619047620000003"/>
    <n v="37.11"/>
    <n v="4.3"/>
    <n v="742.2"/>
    <x v="3"/>
    <n v="1"/>
    <x v="5"/>
  </r>
  <r>
    <s v="237-44-6163"/>
    <x v="0"/>
    <s v="Yangon"/>
    <x v="1"/>
    <s v="Male"/>
    <x v="1"/>
    <n v="10.56"/>
    <n v="8"/>
    <n v="4.2240000000000002"/>
    <n v="88.703999999999994"/>
    <d v="2019-01-24T00:00:00"/>
    <x v="255"/>
    <x v="1"/>
    <n v="84.48"/>
    <n v="4.7619047620000003"/>
    <n v="4.2240000000000002"/>
    <n v="7.6"/>
    <n v="84.48"/>
    <x v="3"/>
    <n v="1"/>
    <x v="6"/>
  </r>
  <r>
    <s v="636-17-0325"/>
    <x v="2"/>
    <s v="Mandalay"/>
    <x v="1"/>
    <s v="Male"/>
    <x v="0"/>
    <n v="62.57"/>
    <n v="4"/>
    <n v="12.513999999999999"/>
    <n v="262.79399999999998"/>
    <d v="2019-02-25T00:00:00"/>
    <x v="78"/>
    <x v="1"/>
    <n v="250.28"/>
    <n v="4.7619047620000003"/>
    <n v="12.513999999999999"/>
    <n v="9.5"/>
    <n v="250.28"/>
    <x v="4"/>
    <n v="2"/>
    <x v="4"/>
  </r>
  <r>
    <s v="343-75-9322"/>
    <x v="2"/>
    <s v="Mandalay"/>
    <x v="0"/>
    <s v="Female"/>
    <x v="3"/>
    <n v="11.85"/>
    <n v="8"/>
    <n v="4.74"/>
    <n v="99.54"/>
    <d v="2019-09-01T00:00:00"/>
    <x v="414"/>
    <x v="1"/>
    <n v="94.8"/>
    <n v="4.7619047620000003"/>
    <n v="4.74"/>
    <n v="4.0999999999999996"/>
    <n v="94.8"/>
    <x v="7"/>
    <n v="9"/>
    <x v="2"/>
  </r>
  <r>
    <s v="528-14-9470"/>
    <x v="0"/>
    <s v="Yangon"/>
    <x v="0"/>
    <s v="Male"/>
    <x v="0"/>
    <n v="91.3"/>
    <n v="1"/>
    <n v="4.5650000000000004"/>
    <n v="95.864999999999995"/>
    <d v="2019-02-14T00:00:00"/>
    <x v="51"/>
    <x v="0"/>
    <n v="91.3"/>
    <n v="4.7619047620000003"/>
    <n v="4.5650000000000004"/>
    <n v="9.1999999999999993"/>
    <n v="91.3"/>
    <x v="4"/>
    <n v="2"/>
    <x v="6"/>
  </r>
  <r>
    <s v="427-45-9297"/>
    <x v="2"/>
    <s v="Mandalay"/>
    <x v="0"/>
    <s v="Female"/>
    <x v="2"/>
    <n v="40.729999999999997"/>
    <n v="7"/>
    <n v="14.2555"/>
    <n v="299.3655"/>
    <d v="2019-12-03T00:00:00"/>
    <x v="471"/>
    <x v="0"/>
    <n v="285.11"/>
    <n v="4.7619047620000003"/>
    <n v="14.2555"/>
    <n v="5.4"/>
    <n v="285.10999999999996"/>
    <x v="8"/>
    <n v="12"/>
    <x v="5"/>
  </r>
  <r>
    <s v="807-34-3742"/>
    <x v="0"/>
    <s v="Yangon"/>
    <x v="1"/>
    <s v="Male"/>
    <x v="5"/>
    <n v="52.38"/>
    <n v="1"/>
    <n v="2.6190000000000002"/>
    <n v="54.999000000000002"/>
    <d v="2019-03-26T00:00:00"/>
    <x v="143"/>
    <x v="1"/>
    <n v="52.38"/>
    <n v="4.7619047620000003"/>
    <n v="2.6190000000000002"/>
    <n v="5.8"/>
    <n v="52.38"/>
    <x v="2"/>
    <n v="3"/>
    <x v="5"/>
  </r>
  <r>
    <s v="288-62-1085"/>
    <x v="0"/>
    <s v="Yangon"/>
    <x v="0"/>
    <s v="Male"/>
    <x v="5"/>
    <n v="38.54"/>
    <n v="5"/>
    <n v="9.6349999999999998"/>
    <n v="202.33500000000001"/>
    <d v="2019-09-01T00:00:00"/>
    <x v="229"/>
    <x v="0"/>
    <n v="192.7"/>
    <n v="4.7619047620000003"/>
    <n v="9.6349999999999998"/>
    <n v="5.6"/>
    <n v="192.7"/>
    <x v="7"/>
    <n v="9"/>
    <x v="2"/>
  </r>
  <r>
    <s v="670-71-7306"/>
    <x v="2"/>
    <s v="Mandalay"/>
    <x v="1"/>
    <s v="Male"/>
    <x v="3"/>
    <n v="44.63"/>
    <n v="6"/>
    <n v="13.388999999999999"/>
    <n v="281.16899999999998"/>
    <d v="2019-02-01T00:00:00"/>
    <x v="390"/>
    <x v="2"/>
    <n v="267.77999999999997"/>
    <n v="4.7619047620000003"/>
    <n v="13.388999999999999"/>
    <n v="5.0999999999999996"/>
    <n v="267.78000000000003"/>
    <x v="4"/>
    <n v="2"/>
    <x v="3"/>
  </r>
  <r>
    <s v="660-29-7083"/>
    <x v="1"/>
    <s v="Naypyitaw"/>
    <x v="1"/>
    <s v="Male"/>
    <x v="1"/>
    <n v="55.87"/>
    <n v="10"/>
    <n v="27.934999999999999"/>
    <n v="586.63499999999999"/>
    <d v="2019-01-15T00:00:00"/>
    <x v="66"/>
    <x v="1"/>
    <n v="558.70000000000005"/>
    <n v="4.7619047620000003"/>
    <n v="27.934999999999999"/>
    <n v="5.8"/>
    <n v="558.69999999999993"/>
    <x v="3"/>
    <n v="1"/>
    <x v="5"/>
  </r>
  <r>
    <s v="271-77-8740"/>
    <x v="1"/>
    <s v="Naypyitaw"/>
    <x v="0"/>
    <s v="Female"/>
    <x v="3"/>
    <n v="29.22"/>
    <n v="6"/>
    <n v="8.766"/>
    <n v="184.08600000000001"/>
    <d v="2019-01-01T00:00:00"/>
    <x v="335"/>
    <x v="0"/>
    <n v="175.32"/>
    <n v="4.7619047620000003"/>
    <n v="8.766"/>
    <n v="5"/>
    <n v="175.32"/>
    <x v="3"/>
    <n v="1"/>
    <x v="5"/>
  </r>
  <r>
    <s v="497-36-0989"/>
    <x v="0"/>
    <s v="Yangon"/>
    <x v="1"/>
    <s v="Male"/>
    <x v="5"/>
    <n v="51.94"/>
    <n v="3"/>
    <n v="7.7910000000000004"/>
    <n v="163.61099999999999"/>
    <d v="2019-02-15T00:00:00"/>
    <x v="472"/>
    <x v="1"/>
    <n v="155.82"/>
    <n v="4.7619047620000003"/>
    <n v="7.7910000000000004"/>
    <n v="7.9"/>
    <n v="155.82"/>
    <x v="4"/>
    <n v="2"/>
    <x v="3"/>
  </r>
  <r>
    <s v="291-59-1384"/>
    <x v="2"/>
    <s v="Mandalay"/>
    <x v="1"/>
    <s v="Male"/>
    <x v="1"/>
    <n v="60.3"/>
    <n v="1"/>
    <n v="3.0150000000000001"/>
    <n v="63.314999999999998"/>
    <d v="2019-02-28T00:00:00"/>
    <x v="180"/>
    <x v="1"/>
    <n v="60.3"/>
    <n v="4.7619047620000003"/>
    <n v="3.0150000000000001"/>
    <n v="6"/>
    <n v="60.3"/>
    <x v="4"/>
    <n v="2"/>
    <x v="6"/>
  </r>
  <r>
    <s v="860-73-6466"/>
    <x v="0"/>
    <s v="Yangon"/>
    <x v="0"/>
    <s v="Female"/>
    <x v="3"/>
    <n v="39.47"/>
    <n v="2"/>
    <n v="3.9470000000000001"/>
    <n v="82.887"/>
    <d v="2019-02-03T00:00:00"/>
    <x v="473"/>
    <x v="2"/>
    <n v="78.94"/>
    <n v="4.7619047620000003"/>
    <n v="3.9470000000000001"/>
    <n v="5"/>
    <n v="78.94"/>
    <x v="4"/>
    <n v="2"/>
    <x v="2"/>
  </r>
  <r>
    <s v="549-23-9016"/>
    <x v="1"/>
    <s v="Naypyitaw"/>
    <x v="0"/>
    <s v="Female"/>
    <x v="4"/>
    <n v="14.87"/>
    <n v="2"/>
    <n v="1.4870000000000001"/>
    <n v="31.227"/>
    <d v="2019-02-13T00:00:00"/>
    <x v="470"/>
    <x v="2"/>
    <n v="29.74"/>
    <n v="4.7619047620000003"/>
    <n v="1.4870000000000001"/>
    <n v="8.9"/>
    <n v="29.74"/>
    <x v="4"/>
    <n v="2"/>
    <x v="0"/>
  </r>
  <r>
    <s v="896-34-0956"/>
    <x v="0"/>
    <s v="Yangon"/>
    <x v="1"/>
    <s v="Male"/>
    <x v="5"/>
    <n v="21.32"/>
    <n v="1"/>
    <n v="1.0660000000000001"/>
    <n v="22.385999999999999"/>
    <d v="2019-01-26T00:00:00"/>
    <x v="31"/>
    <x v="1"/>
    <n v="21.32"/>
    <n v="4.7619047620000003"/>
    <n v="1.0660000000000001"/>
    <n v="5.9"/>
    <n v="21.32"/>
    <x v="3"/>
    <n v="1"/>
    <x v="1"/>
  </r>
  <r>
    <s v="804-38-3935"/>
    <x v="0"/>
    <s v="Yangon"/>
    <x v="0"/>
    <s v="Male"/>
    <x v="1"/>
    <n v="93.78"/>
    <n v="3"/>
    <n v="14.067"/>
    <n v="295.40699999999998"/>
    <d v="2019-01-30T00:00:00"/>
    <x v="102"/>
    <x v="2"/>
    <n v="281.33999999999997"/>
    <n v="4.7619047620000003"/>
    <n v="14.067"/>
    <n v="5.9"/>
    <n v="281.34000000000003"/>
    <x v="3"/>
    <n v="1"/>
    <x v="0"/>
  </r>
  <r>
    <s v="585-90-0249"/>
    <x v="0"/>
    <s v="Yangon"/>
    <x v="0"/>
    <s v="Male"/>
    <x v="1"/>
    <n v="73.260000000000005"/>
    <n v="1"/>
    <n v="3.6629999999999998"/>
    <n v="76.923000000000002"/>
    <d v="2019-01-27T00:00:00"/>
    <x v="182"/>
    <x v="0"/>
    <n v="73.260000000000005"/>
    <n v="4.7619047620000003"/>
    <n v="3.6629999999999998"/>
    <n v="9.6999999999999993"/>
    <n v="73.260000000000005"/>
    <x v="3"/>
    <n v="1"/>
    <x v="2"/>
  </r>
  <r>
    <s v="862-29-5914"/>
    <x v="1"/>
    <s v="Naypyitaw"/>
    <x v="1"/>
    <s v="Female"/>
    <x v="3"/>
    <n v="22.38"/>
    <n v="1"/>
    <n v="1.119"/>
    <n v="23.498999999999999"/>
    <d v="2019-01-30T00:00:00"/>
    <x v="48"/>
    <x v="2"/>
    <n v="22.38"/>
    <n v="4.7619047620000003"/>
    <n v="1.119"/>
    <n v="8.6"/>
    <n v="22.38"/>
    <x v="3"/>
    <n v="1"/>
    <x v="0"/>
  </r>
  <r>
    <s v="845-94-6841"/>
    <x v="1"/>
    <s v="Naypyitaw"/>
    <x v="0"/>
    <s v="Female"/>
    <x v="4"/>
    <n v="72.88"/>
    <n v="9"/>
    <n v="32.795999999999999"/>
    <n v="688.71600000000001"/>
    <d v="2019-08-01T00:00:00"/>
    <x v="371"/>
    <x v="1"/>
    <n v="655.92"/>
    <n v="4.7619047620000003"/>
    <n v="32.795999999999999"/>
    <n v="4"/>
    <n v="655.92"/>
    <x v="1"/>
    <n v="8"/>
    <x v="6"/>
  </r>
  <r>
    <s v="125-45-2293"/>
    <x v="0"/>
    <s v="Yangon"/>
    <x v="1"/>
    <s v="Female"/>
    <x v="5"/>
    <n v="99.1"/>
    <n v="6"/>
    <n v="29.73"/>
    <n v="624.33000000000004"/>
    <d v="2019-01-19T00:00:00"/>
    <x v="90"/>
    <x v="1"/>
    <n v="594.6"/>
    <n v="4.7619047620000003"/>
    <n v="29.73"/>
    <n v="4.2"/>
    <n v="594.59999999999991"/>
    <x v="3"/>
    <n v="1"/>
    <x v="1"/>
  </r>
  <r>
    <s v="843-73-4724"/>
    <x v="0"/>
    <s v="Yangon"/>
    <x v="1"/>
    <s v="Male"/>
    <x v="5"/>
    <n v="74.099999999999994"/>
    <n v="1"/>
    <n v="3.7050000000000001"/>
    <n v="77.805000000000007"/>
    <d v="2019-01-25T00:00:00"/>
    <x v="474"/>
    <x v="1"/>
    <n v="74.099999999999994"/>
    <n v="4.7619047620000003"/>
    <n v="3.7050000000000001"/>
    <n v="9.1999999999999993"/>
    <n v="74.099999999999994"/>
    <x v="3"/>
    <n v="1"/>
    <x v="3"/>
  </r>
  <r>
    <s v="409-33-9708"/>
    <x v="0"/>
    <s v="Yangon"/>
    <x v="1"/>
    <s v="Female"/>
    <x v="5"/>
    <n v="98.48"/>
    <n v="2"/>
    <n v="9.8480000000000008"/>
    <n v="206.80799999999999"/>
    <d v="2019-02-19T00:00:00"/>
    <x v="33"/>
    <x v="0"/>
    <n v="196.96"/>
    <n v="4.7619047620000003"/>
    <n v="9.8480000000000008"/>
    <n v="9.1999999999999993"/>
    <n v="196.96"/>
    <x v="4"/>
    <n v="2"/>
    <x v="5"/>
  </r>
  <r>
    <s v="658-66-3967"/>
    <x v="1"/>
    <s v="Naypyitaw"/>
    <x v="1"/>
    <s v="Male"/>
    <x v="0"/>
    <n v="53.19"/>
    <n v="7"/>
    <n v="18.616499999999998"/>
    <n v="390.94650000000001"/>
    <d v="2019-01-14T00:00:00"/>
    <x v="324"/>
    <x v="0"/>
    <n v="372.33"/>
    <n v="4.7619047620000003"/>
    <n v="18.616499999999998"/>
    <n v="5"/>
    <n v="372.33"/>
    <x v="3"/>
    <n v="1"/>
    <x v="4"/>
  </r>
  <r>
    <s v="866-70-2814"/>
    <x v="2"/>
    <s v="Mandalay"/>
    <x v="1"/>
    <s v="Female"/>
    <x v="1"/>
    <n v="52.79"/>
    <n v="10"/>
    <n v="26.395"/>
    <n v="554.29499999999996"/>
    <d v="2019-02-25T00:00:00"/>
    <x v="452"/>
    <x v="0"/>
    <n v="527.9"/>
    <n v="4.7619047620000003"/>
    <n v="26.395"/>
    <n v="10"/>
    <n v="527.9"/>
    <x v="4"/>
    <n v="2"/>
    <x v="4"/>
  </r>
  <r>
    <s v="160-22-2687"/>
    <x v="0"/>
    <s v="Yangon"/>
    <x v="0"/>
    <s v="Female"/>
    <x v="0"/>
    <n v="95.95"/>
    <n v="5"/>
    <n v="23.987500000000001"/>
    <n v="503.73750000000001"/>
    <d v="2019-01-23T00:00:00"/>
    <x v="239"/>
    <x v="0"/>
    <n v="479.75"/>
    <n v="4.7619047620000003"/>
    <n v="23.987500000000001"/>
    <n v="8.8000000000000007"/>
    <n v="479.75"/>
    <x v="3"/>
    <n v="1"/>
    <x v="0"/>
  </r>
  <r>
    <s v="895-03-6665"/>
    <x v="2"/>
    <s v="Mandalay"/>
    <x v="1"/>
    <s v="Female"/>
    <x v="5"/>
    <n v="36.51"/>
    <n v="9"/>
    <n v="16.429500000000001"/>
    <n v="345.01949999999999"/>
    <d v="2019-02-16T00:00:00"/>
    <x v="196"/>
    <x v="1"/>
    <n v="328.59"/>
    <n v="4.7619047620000003"/>
    <n v="16.429500000000001"/>
    <n v="4.2"/>
    <n v="328.59"/>
    <x v="4"/>
    <n v="2"/>
    <x v="1"/>
  </r>
  <r>
    <s v="770-42-8960"/>
    <x v="2"/>
    <s v="Mandalay"/>
    <x v="1"/>
    <s v="Male"/>
    <x v="4"/>
    <n v="21.12"/>
    <n v="8"/>
    <n v="8.4480000000000004"/>
    <n v="177.40799999999999"/>
    <d v="2019-01-01T00:00:00"/>
    <x v="475"/>
    <x v="1"/>
    <n v="168.96"/>
    <n v="4.7619047620000003"/>
    <n v="8.4480000000000004"/>
    <n v="6.3"/>
    <n v="168.96"/>
    <x v="3"/>
    <n v="1"/>
    <x v="5"/>
  </r>
  <r>
    <s v="748-45-2862"/>
    <x v="0"/>
    <s v="Yangon"/>
    <x v="0"/>
    <s v="Female"/>
    <x v="2"/>
    <n v="28.31"/>
    <n v="4"/>
    <n v="5.6619999999999999"/>
    <n v="118.902"/>
    <d v="2019-07-03T00:00:00"/>
    <x v="476"/>
    <x v="1"/>
    <n v="113.24"/>
    <n v="4.7619047620000003"/>
    <n v="5.6619999999999999"/>
    <n v="8.1999999999999993"/>
    <n v="113.24"/>
    <x v="9"/>
    <n v="7"/>
    <x v="0"/>
  </r>
  <r>
    <s v="234-36-2483"/>
    <x v="2"/>
    <s v="Mandalay"/>
    <x v="1"/>
    <s v="Male"/>
    <x v="0"/>
    <n v="57.59"/>
    <n v="6"/>
    <n v="17.277000000000001"/>
    <n v="362.81700000000001"/>
    <d v="2019-02-15T00:00:00"/>
    <x v="477"/>
    <x v="1"/>
    <n v="345.54"/>
    <n v="4.7619047620000003"/>
    <n v="17.277000000000001"/>
    <n v="5.0999999999999996"/>
    <n v="345.54"/>
    <x v="4"/>
    <n v="2"/>
    <x v="3"/>
  </r>
  <r>
    <s v="316-66-3011"/>
    <x v="0"/>
    <s v="Yangon"/>
    <x v="0"/>
    <s v="Female"/>
    <x v="4"/>
    <n v="47.63"/>
    <n v="9"/>
    <n v="21.433499999999999"/>
    <n v="450.1035"/>
    <d v="2019-01-23T00:00:00"/>
    <x v="478"/>
    <x v="1"/>
    <n v="428.67"/>
    <n v="4.7619047620000003"/>
    <n v="21.433499999999999"/>
    <n v="5"/>
    <n v="428.67"/>
    <x v="3"/>
    <n v="1"/>
    <x v="0"/>
  </r>
  <r>
    <s v="848-95-6252"/>
    <x v="1"/>
    <s v="Naypyitaw"/>
    <x v="0"/>
    <s v="Female"/>
    <x v="2"/>
    <n v="86.27"/>
    <n v="1"/>
    <n v="4.3135000000000003"/>
    <n v="90.583500000000001"/>
    <d v="2019-02-20T00:00:00"/>
    <x v="38"/>
    <x v="0"/>
    <n v="86.27"/>
    <n v="4.7619047620000003"/>
    <n v="4.3135000000000003"/>
    <n v="7"/>
    <n v="86.27"/>
    <x v="4"/>
    <n v="2"/>
    <x v="0"/>
  </r>
  <r>
    <s v="840-76-5966"/>
    <x v="0"/>
    <s v="Yangon"/>
    <x v="0"/>
    <s v="Male"/>
    <x v="3"/>
    <n v="12.76"/>
    <n v="2"/>
    <n v="1.276"/>
    <n v="26.795999999999999"/>
    <d v="2019-08-01T00:00:00"/>
    <x v="191"/>
    <x v="0"/>
    <n v="25.52"/>
    <n v="4.7619047620000003"/>
    <n v="1.276"/>
    <n v="7.8"/>
    <n v="25.52"/>
    <x v="1"/>
    <n v="8"/>
    <x v="6"/>
  </r>
  <r>
    <s v="152-03-4217"/>
    <x v="2"/>
    <s v="Mandalay"/>
    <x v="1"/>
    <s v="Female"/>
    <x v="2"/>
    <n v="11.28"/>
    <n v="9"/>
    <n v="5.0759999999999996"/>
    <n v="106.596"/>
    <d v="2019-03-17T00:00:00"/>
    <x v="479"/>
    <x v="2"/>
    <n v="101.52"/>
    <n v="4.7619047620000003"/>
    <n v="5.0759999999999996"/>
    <n v="4.3"/>
    <n v="101.52"/>
    <x v="2"/>
    <n v="3"/>
    <x v="2"/>
  </r>
  <r>
    <s v="533-66-5566"/>
    <x v="2"/>
    <s v="Mandalay"/>
    <x v="1"/>
    <s v="Female"/>
    <x v="2"/>
    <n v="51.07"/>
    <n v="7"/>
    <n v="17.874500000000001"/>
    <n v="375.36450000000002"/>
    <d v="2019-12-01T00:00:00"/>
    <x v="437"/>
    <x v="1"/>
    <n v="357.49"/>
    <n v="4.7619047620000003"/>
    <n v="17.874500000000001"/>
    <n v="7"/>
    <n v="357.49"/>
    <x v="8"/>
    <n v="12"/>
    <x v="2"/>
  </r>
  <r>
    <s v="124-31-1458"/>
    <x v="0"/>
    <s v="Yangon"/>
    <x v="0"/>
    <s v="Female"/>
    <x v="1"/>
    <n v="79.59"/>
    <n v="3"/>
    <n v="11.938499999999999"/>
    <n v="250.70849999999999"/>
    <d v="2019-08-01T00:00:00"/>
    <x v="101"/>
    <x v="1"/>
    <n v="238.77"/>
    <n v="4.7619047620000003"/>
    <n v="11.938499999999999"/>
    <n v="6.6"/>
    <n v="238.77"/>
    <x v="1"/>
    <n v="8"/>
    <x v="6"/>
  </r>
  <r>
    <s v="176-78-1170"/>
    <x v="1"/>
    <s v="Naypyitaw"/>
    <x v="0"/>
    <s v="Male"/>
    <x v="0"/>
    <n v="33.81"/>
    <n v="3"/>
    <n v="5.0715000000000003"/>
    <n v="106.50149999999999"/>
    <d v="2019-01-26T00:00:00"/>
    <x v="480"/>
    <x v="0"/>
    <n v="101.43"/>
    <n v="4.7619047620000003"/>
    <n v="5.0715000000000003"/>
    <n v="7.3"/>
    <n v="101.43"/>
    <x v="3"/>
    <n v="1"/>
    <x v="1"/>
  </r>
  <r>
    <s v="361-59-0574"/>
    <x v="2"/>
    <s v="Mandalay"/>
    <x v="0"/>
    <s v="Male"/>
    <x v="3"/>
    <n v="90.53"/>
    <n v="8"/>
    <n v="36.212000000000003"/>
    <n v="760.452"/>
    <d v="2019-03-15T00:00:00"/>
    <x v="481"/>
    <x v="2"/>
    <n v="724.24"/>
    <n v="4.7619047620000003"/>
    <n v="36.212000000000003"/>
    <n v="6.5"/>
    <n v="724.24"/>
    <x v="2"/>
    <n v="3"/>
    <x v="3"/>
  </r>
  <r>
    <s v="101-81-4070"/>
    <x v="1"/>
    <s v="Naypyitaw"/>
    <x v="0"/>
    <s v="Female"/>
    <x v="0"/>
    <n v="62.82"/>
    <n v="2"/>
    <n v="6.282"/>
    <n v="131.922"/>
    <d v="2019-01-17T00:00:00"/>
    <x v="482"/>
    <x v="0"/>
    <n v="125.64"/>
    <n v="4.7619047620000003"/>
    <n v="6.282"/>
    <n v="4.9000000000000004"/>
    <n v="125.64"/>
    <x v="3"/>
    <n v="1"/>
    <x v="6"/>
  </r>
  <r>
    <s v="631-34-1880"/>
    <x v="1"/>
    <s v="Naypyitaw"/>
    <x v="0"/>
    <s v="Male"/>
    <x v="4"/>
    <n v="24.31"/>
    <n v="3"/>
    <n v="3.6465000000000001"/>
    <n v="76.576499999999996"/>
    <d v="2019-08-01T00:00:00"/>
    <x v="268"/>
    <x v="2"/>
    <n v="72.930000000000007"/>
    <n v="4.7619047620000003"/>
    <n v="3.6465000000000001"/>
    <n v="4.3"/>
    <n v="72.929999999999993"/>
    <x v="1"/>
    <n v="8"/>
    <x v="6"/>
  </r>
  <r>
    <s v="852-82-2749"/>
    <x v="0"/>
    <s v="Yangon"/>
    <x v="1"/>
    <s v="Male"/>
    <x v="3"/>
    <n v="64.59"/>
    <n v="4"/>
    <n v="12.917999999999999"/>
    <n v="271.27800000000002"/>
    <d v="2019-06-01T00:00:00"/>
    <x v="483"/>
    <x v="0"/>
    <n v="258.36"/>
    <n v="4.7619047620000003"/>
    <n v="12.917999999999999"/>
    <n v="9.3000000000000007"/>
    <n v="258.36"/>
    <x v="6"/>
    <n v="6"/>
    <x v="1"/>
  </r>
  <r>
    <s v="873-14-6353"/>
    <x v="0"/>
    <s v="Yangon"/>
    <x v="0"/>
    <s v="Male"/>
    <x v="4"/>
    <n v="24.82"/>
    <n v="7"/>
    <n v="8.6869999999999994"/>
    <n v="182.42699999999999"/>
    <d v="2019-02-16T00:00:00"/>
    <x v="373"/>
    <x v="2"/>
    <n v="173.74"/>
    <n v="4.7619047620000003"/>
    <n v="8.6869999999999994"/>
    <n v="7.1"/>
    <n v="173.74"/>
    <x v="4"/>
    <n v="2"/>
    <x v="1"/>
  </r>
  <r>
    <s v="584-66-4073"/>
    <x v="1"/>
    <s v="Naypyitaw"/>
    <x v="1"/>
    <s v="Male"/>
    <x v="5"/>
    <n v="56.5"/>
    <n v="1"/>
    <n v="2.8250000000000002"/>
    <n v="59.325000000000003"/>
    <d v="2019-03-13T00:00:00"/>
    <x v="484"/>
    <x v="0"/>
    <n v="56.5"/>
    <n v="4.7619047620000003"/>
    <n v="2.8250000000000002"/>
    <n v="9.6"/>
    <n v="56.5"/>
    <x v="2"/>
    <n v="3"/>
    <x v="0"/>
  </r>
  <r>
    <s v="544-55-9589"/>
    <x v="2"/>
    <s v="Mandalay"/>
    <x v="0"/>
    <s v="Female"/>
    <x v="1"/>
    <n v="21.43"/>
    <n v="10"/>
    <n v="10.715"/>
    <n v="225.01499999999999"/>
    <d v="2019-01-28T00:00:00"/>
    <x v="159"/>
    <x v="1"/>
    <n v="214.3"/>
    <n v="4.7619047620000003"/>
    <n v="10.715"/>
    <n v="6.2"/>
    <n v="214.3"/>
    <x v="3"/>
    <n v="1"/>
    <x v="4"/>
  </r>
  <r>
    <s v="166-19-2553"/>
    <x v="0"/>
    <s v="Yangon"/>
    <x v="0"/>
    <s v="Male"/>
    <x v="3"/>
    <n v="89.06"/>
    <n v="6"/>
    <n v="26.718"/>
    <n v="561.07799999999997"/>
    <d v="2019-01-18T00:00:00"/>
    <x v="111"/>
    <x v="1"/>
    <n v="534.36"/>
    <n v="4.7619047620000003"/>
    <n v="26.718"/>
    <n v="9.9"/>
    <n v="534.36"/>
    <x v="3"/>
    <n v="1"/>
    <x v="3"/>
  </r>
  <r>
    <s v="737-88-5876"/>
    <x v="0"/>
    <s v="Yangon"/>
    <x v="0"/>
    <s v="Male"/>
    <x v="2"/>
    <n v="23.29"/>
    <n v="4"/>
    <n v="4.6580000000000004"/>
    <n v="97.817999999999998"/>
    <d v="2019-03-19T00:00:00"/>
    <x v="408"/>
    <x v="2"/>
    <n v="93.16"/>
    <n v="4.7619047620000003"/>
    <n v="4.6580000000000004"/>
    <n v="5.9"/>
    <n v="93.16"/>
    <x v="2"/>
    <n v="3"/>
    <x v="5"/>
  </r>
  <r>
    <s v="154-87-7367"/>
    <x v="1"/>
    <s v="Naypyitaw"/>
    <x v="1"/>
    <s v="Male"/>
    <x v="2"/>
    <n v="65.260000000000005"/>
    <n v="8"/>
    <n v="26.103999999999999"/>
    <n v="548.18399999999997"/>
    <d v="2019-03-15T00:00:00"/>
    <x v="214"/>
    <x v="0"/>
    <n v="522.08000000000004"/>
    <n v="4.7619047620000003"/>
    <n v="26.103999999999999"/>
    <n v="6.3"/>
    <n v="522.08000000000004"/>
    <x v="2"/>
    <n v="3"/>
    <x v="3"/>
  </r>
  <r>
    <s v="885-56-0389"/>
    <x v="1"/>
    <s v="Naypyitaw"/>
    <x v="0"/>
    <s v="Male"/>
    <x v="5"/>
    <n v="52.35"/>
    <n v="1"/>
    <n v="2.6175000000000002"/>
    <n v="54.967500000000001"/>
    <d v="2019-12-02T00:00:00"/>
    <x v="438"/>
    <x v="1"/>
    <n v="52.35"/>
    <n v="4.7619047620000003"/>
    <n v="2.6175000000000002"/>
    <n v="4"/>
    <n v="52.35"/>
    <x v="8"/>
    <n v="12"/>
    <x v="4"/>
  </r>
  <r>
    <s v="608-05-3804"/>
    <x v="2"/>
    <s v="Mandalay"/>
    <x v="0"/>
    <s v="Male"/>
    <x v="1"/>
    <n v="39.75"/>
    <n v="1"/>
    <n v="1.9875"/>
    <n v="41.737499999999997"/>
    <d v="2019-02-25T00:00:00"/>
    <x v="99"/>
    <x v="1"/>
    <n v="39.75"/>
    <n v="4.7619047620000003"/>
    <n v="1.9875"/>
    <n v="6.1"/>
    <n v="39.75"/>
    <x v="4"/>
    <n v="2"/>
    <x v="4"/>
  </r>
  <r>
    <s v="448-61-3783"/>
    <x v="0"/>
    <s v="Yangon"/>
    <x v="1"/>
    <s v="Female"/>
    <x v="1"/>
    <n v="90.02"/>
    <n v="8"/>
    <n v="36.008000000000003"/>
    <n v="756.16800000000001"/>
    <d v="2019-03-21T00:00:00"/>
    <x v="394"/>
    <x v="2"/>
    <n v="720.16"/>
    <n v="4.7619047620000003"/>
    <n v="36.008000000000003"/>
    <n v="4.5"/>
    <n v="720.16"/>
    <x v="2"/>
    <n v="3"/>
    <x v="6"/>
  </r>
  <r>
    <s v="761-49-0439"/>
    <x v="2"/>
    <s v="Mandalay"/>
    <x v="0"/>
    <s v="Female"/>
    <x v="1"/>
    <n v="12.1"/>
    <n v="8"/>
    <n v="4.84"/>
    <n v="101.64"/>
    <d v="2019-01-19T00:00:00"/>
    <x v="79"/>
    <x v="0"/>
    <n v="96.8"/>
    <n v="4.7619047620000003"/>
    <n v="4.84"/>
    <n v="8.6"/>
    <n v="96.8"/>
    <x v="3"/>
    <n v="1"/>
    <x v="1"/>
  </r>
  <r>
    <s v="490-95-0021"/>
    <x v="2"/>
    <s v="Mandalay"/>
    <x v="0"/>
    <s v="Female"/>
    <x v="4"/>
    <n v="33.21"/>
    <n v="10"/>
    <n v="16.605"/>
    <n v="348.70499999999998"/>
    <d v="2019-08-01T00:00:00"/>
    <x v="485"/>
    <x v="0"/>
    <n v="332.1"/>
    <n v="4.7619047620000003"/>
    <n v="16.605"/>
    <n v="6"/>
    <n v="332.1"/>
    <x v="1"/>
    <n v="8"/>
    <x v="6"/>
  </r>
  <r>
    <s v="115-38-7388"/>
    <x v="1"/>
    <s v="Naypyitaw"/>
    <x v="0"/>
    <s v="Female"/>
    <x v="5"/>
    <n v="10.18"/>
    <n v="8"/>
    <n v="4.0720000000000001"/>
    <n v="85.512"/>
    <d v="2019-03-30T00:00:00"/>
    <x v="423"/>
    <x v="2"/>
    <n v="81.44"/>
    <n v="4.7619047620000003"/>
    <n v="4.0720000000000001"/>
    <n v="9.5"/>
    <n v="81.44"/>
    <x v="2"/>
    <n v="3"/>
    <x v="1"/>
  </r>
  <r>
    <s v="311-13-6971"/>
    <x v="2"/>
    <s v="Mandalay"/>
    <x v="0"/>
    <s v="Male"/>
    <x v="3"/>
    <n v="31.99"/>
    <n v="10"/>
    <n v="15.994999999999999"/>
    <n v="335.89499999999998"/>
    <d v="2019-02-20T00:00:00"/>
    <x v="486"/>
    <x v="2"/>
    <n v="319.89999999999998"/>
    <n v="4.7619047620000003"/>
    <n v="15.994999999999999"/>
    <n v="9.9"/>
    <n v="319.89999999999998"/>
    <x v="4"/>
    <n v="2"/>
    <x v="0"/>
  </r>
  <r>
    <s v="291-55-6563"/>
    <x v="0"/>
    <s v="Yangon"/>
    <x v="0"/>
    <s v="Female"/>
    <x v="2"/>
    <n v="34.42"/>
    <n v="6"/>
    <n v="10.326000000000001"/>
    <n v="216.846"/>
    <d v="2019-03-30T00:00:00"/>
    <x v="47"/>
    <x v="0"/>
    <n v="206.52"/>
    <n v="4.7619047620000003"/>
    <n v="10.326000000000001"/>
    <n v="7.5"/>
    <n v="206.52"/>
    <x v="2"/>
    <n v="3"/>
    <x v="1"/>
  </r>
  <r>
    <s v="548-48-3156"/>
    <x v="0"/>
    <s v="Yangon"/>
    <x v="0"/>
    <s v="Female"/>
    <x v="4"/>
    <n v="83.34"/>
    <n v="2"/>
    <n v="8.3339999999999996"/>
    <n v="175.01400000000001"/>
    <d v="2019-03-19T00:00:00"/>
    <x v="303"/>
    <x v="1"/>
    <n v="166.68"/>
    <n v="4.7619047620000003"/>
    <n v="8.3339999999999996"/>
    <n v="7.6"/>
    <n v="166.68"/>
    <x v="2"/>
    <n v="3"/>
    <x v="5"/>
  </r>
  <r>
    <s v="460-93-5834"/>
    <x v="0"/>
    <s v="Yangon"/>
    <x v="1"/>
    <s v="Male"/>
    <x v="3"/>
    <n v="45.58"/>
    <n v="7"/>
    <n v="15.952999999999999"/>
    <n v="335.01299999999998"/>
    <d v="2019-01-13T00:00:00"/>
    <x v="487"/>
    <x v="1"/>
    <n v="319.06"/>
    <n v="4.7619047620000003"/>
    <n v="15.952999999999999"/>
    <n v="5"/>
    <n v="319.06"/>
    <x v="3"/>
    <n v="1"/>
    <x v="2"/>
  </r>
  <r>
    <s v="325-89-4209"/>
    <x v="0"/>
    <s v="Yangon"/>
    <x v="0"/>
    <s v="Male"/>
    <x v="4"/>
    <n v="87.9"/>
    <n v="1"/>
    <n v="4.3949999999999996"/>
    <n v="92.295000000000002"/>
    <d v="2019-05-02T00:00:00"/>
    <x v="144"/>
    <x v="0"/>
    <n v="87.9"/>
    <n v="4.7619047620000003"/>
    <n v="4.3949999999999996"/>
    <n v="6.7"/>
    <n v="87.9"/>
    <x v="0"/>
    <n v="5"/>
    <x v="6"/>
  </r>
  <r>
    <s v="884-80-6021"/>
    <x v="0"/>
    <s v="Yangon"/>
    <x v="0"/>
    <s v="Female"/>
    <x v="1"/>
    <n v="73.47"/>
    <n v="10"/>
    <n v="36.734999999999999"/>
    <n v="771.43499999999995"/>
    <d v="2019-03-23T00:00:00"/>
    <x v="488"/>
    <x v="0"/>
    <n v="734.7"/>
    <n v="4.7619047620000003"/>
    <n v="36.734999999999999"/>
    <n v="9.5"/>
    <n v="734.7"/>
    <x v="2"/>
    <n v="3"/>
    <x v="1"/>
  </r>
  <r>
    <s v="137-74-8729"/>
    <x v="1"/>
    <s v="Naypyitaw"/>
    <x v="1"/>
    <s v="Female"/>
    <x v="5"/>
    <n v="12.19"/>
    <n v="8"/>
    <n v="4.8760000000000003"/>
    <n v="102.396"/>
    <d v="2019-03-13T00:00:00"/>
    <x v="433"/>
    <x v="0"/>
    <n v="97.52"/>
    <n v="4.7619047620000003"/>
    <n v="4.8760000000000003"/>
    <n v="6.8"/>
    <n v="97.52"/>
    <x v="2"/>
    <n v="3"/>
    <x v="0"/>
  </r>
  <r>
    <s v="880-46-5796"/>
    <x v="0"/>
    <s v="Yangon"/>
    <x v="0"/>
    <s v="Male"/>
    <x v="3"/>
    <n v="76.92"/>
    <n v="10"/>
    <n v="38.46"/>
    <n v="807.66"/>
    <d v="2019-03-17T00:00:00"/>
    <x v="267"/>
    <x v="0"/>
    <n v="769.2"/>
    <n v="4.7619047620000003"/>
    <n v="38.46"/>
    <n v="5.6"/>
    <n v="769.2"/>
    <x v="2"/>
    <n v="3"/>
    <x v="2"/>
  </r>
  <r>
    <s v="389-70-2397"/>
    <x v="1"/>
    <s v="Naypyitaw"/>
    <x v="1"/>
    <s v="Female"/>
    <x v="0"/>
    <n v="83.66"/>
    <n v="5"/>
    <n v="20.914999999999999"/>
    <n v="439.21499999999997"/>
    <d v="2019-02-21T00:00:00"/>
    <x v="306"/>
    <x v="1"/>
    <n v="418.3"/>
    <n v="4.7619047620000003"/>
    <n v="20.914999999999999"/>
    <n v="7.2"/>
    <n v="418.29999999999995"/>
    <x v="4"/>
    <n v="2"/>
    <x v="6"/>
  </r>
  <r>
    <s v="114-35-5271"/>
    <x v="2"/>
    <s v="Mandalay"/>
    <x v="1"/>
    <s v="Female"/>
    <x v="1"/>
    <n v="57.91"/>
    <n v="8"/>
    <n v="23.164000000000001"/>
    <n v="486.44400000000002"/>
    <d v="2019-07-02T00:00:00"/>
    <x v="379"/>
    <x v="1"/>
    <n v="463.28"/>
    <n v="4.7619047620000003"/>
    <n v="23.164000000000001"/>
    <n v="8.1"/>
    <n v="463.28"/>
    <x v="9"/>
    <n v="7"/>
    <x v="5"/>
  </r>
  <r>
    <s v="607-76-6216"/>
    <x v="1"/>
    <s v="Naypyitaw"/>
    <x v="0"/>
    <s v="Female"/>
    <x v="5"/>
    <n v="92.49"/>
    <n v="5"/>
    <n v="23.122499999999999"/>
    <n v="485.57249999999999"/>
    <d v="2019-02-03T00:00:00"/>
    <x v="489"/>
    <x v="2"/>
    <n v="462.45"/>
    <n v="4.7619047620000003"/>
    <n v="23.122499999999999"/>
    <n v="8.6"/>
    <n v="462.45"/>
    <x v="4"/>
    <n v="2"/>
    <x v="2"/>
  </r>
  <r>
    <s v="715-20-1673"/>
    <x v="2"/>
    <s v="Mandalay"/>
    <x v="1"/>
    <s v="Male"/>
    <x v="1"/>
    <n v="28.38"/>
    <n v="5"/>
    <n v="7.0949999999999998"/>
    <n v="148.995"/>
    <d v="2019-06-03T00:00:00"/>
    <x v="490"/>
    <x v="1"/>
    <n v="141.9"/>
    <n v="4.7619047620000003"/>
    <n v="7.0949999999999998"/>
    <n v="9.4"/>
    <n v="141.9"/>
    <x v="6"/>
    <n v="6"/>
    <x v="4"/>
  </r>
  <r>
    <s v="811-35-1094"/>
    <x v="2"/>
    <s v="Mandalay"/>
    <x v="0"/>
    <s v="Male"/>
    <x v="1"/>
    <n v="50.45"/>
    <n v="6"/>
    <n v="15.135"/>
    <n v="317.83499999999998"/>
    <d v="2019-06-02T00:00:00"/>
    <x v="204"/>
    <x v="2"/>
    <n v="302.7"/>
    <n v="4.7619047620000003"/>
    <n v="15.135"/>
    <n v="8.9"/>
    <n v="302.70000000000005"/>
    <x v="6"/>
    <n v="6"/>
    <x v="2"/>
  </r>
  <r>
    <s v="699-88-1972"/>
    <x v="2"/>
    <s v="Mandalay"/>
    <x v="1"/>
    <s v="Male"/>
    <x v="0"/>
    <n v="99.16"/>
    <n v="8"/>
    <n v="39.664000000000001"/>
    <n v="832.94399999999996"/>
    <d v="2019-01-28T00:00:00"/>
    <x v="59"/>
    <x v="2"/>
    <n v="793.28"/>
    <n v="4.7619047620000003"/>
    <n v="39.664000000000001"/>
    <n v="4.2"/>
    <n v="793.28"/>
    <x v="3"/>
    <n v="1"/>
    <x v="4"/>
  </r>
  <r>
    <s v="781-84-8059"/>
    <x v="1"/>
    <s v="Naypyitaw"/>
    <x v="1"/>
    <s v="Male"/>
    <x v="5"/>
    <n v="60.74"/>
    <n v="7"/>
    <n v="21.259"/>
    <n v="446.43900000000002"/>
    <d v="2019-01-18T00:00:00"/>
    <x v="293"/>
    <x v="0"/>
    <n v="425.18"/>
    <n v="4.7619047620000003"/>
    <n v="21.259"/>
    <n v="5"/>
    <n v="425.18"/>
    <x v="3"/>
    <n v="1"/>
    <x v="3"/>
  </r>
  <r>
    <s v="409-49-6995"/>
    <x v="1"/>
    <s v="Naypyitaw"/>
    <x v="0"/>
    <s v="Female"/>
    <x v="4"/>
    <n v="47.27"/>
    <n v="6"/>
    <n v="14.180999999999999"/>
    <n v="297.80099999999999"/>
    <d v="2019-05-02T00:00:00"/>
    <x v="79"/>
    <x v="1"/>
    <n v="283.62"/>
    <n v="4.7619047620000003"/>
    <n v="14.180999999999999"/>
    <n v="8.8000000000000007"/>
    <n v="283.62"/>
    <x v="0"/>
    <n v="5"/>
    <x v="6"/>
  </r>
  <r>
    <s v="725-54-0677"/>
    <x v="1"/>
    <s v="Naypyitaw"/>
    <x v="0"/>
    <s v="Male"/>
    <x v="0"/>
    <n v="85.6"/>
    <n v="7"/>
    <n v="29.96"/>
    <n v="629.16"/>
    <d v="2019-02-03T00:00:00"/>
    <x v="491"/>
    <x v="1"/>
    <n v="599.20000000000005"/>
    <n v="4.7619047620000003"/>
    <n v="29.96"/>
    <n v="5.3"/>
    <n v="599.19999999999993"/>
    <x v="4"/>
    <n v="2"/>
    <x v="2"/>
  </r>
  <r>
    <s v="146-09-5432"/>
    <x v="0"/>
    <s v="Yangon"/>
    <x v="0"/>
    <s v="Male"/>
    <x v="4"/>
    <n v="35.04"/>
    <n v="9"/>
    <n v="15.768000000000001"/>
    <n v="331.12799999999999"/>
    <d v="2019-09-02T00:00:00"/>
    <x v="151"/>
    <x v="0"/>
    <n v="315.36"/>
    <n v="4.7619047620000003"/>
    <n v="15.768000000000001"/>
    <n v="4.5999999999999996"/>
    <n v="315.36"/>
    <x v="7"/>
    <n v="9"/>
    <x v="4"/>
  </r>
  <r>
    <s v="377-79-7592"/>
    <x v="1"/>
    <s v="Naypyitaw"/>
    <x v="0"/>
    <s v="Female"/>
    <x v="1"/>
    <n v="44.84"/>
    <n v="9"/>
    <n v="20.178000000000001"/>
    <n v="423.738"/>
    <d v="2019-01-14T00:00:00"/>
    <x v="466"/>
    <x v="2"/>
    <n v="403.56"/>
    <n v="4.7619047620000003"/>
    <n v="20.178000000000001"/>
    <n v="7.5"/>
    <n v="403.56000000000006"/>
    <x v="3"/>
    <n v="1"/>
    <x v="4"/>
  </r>
  <r>
    <s v="509-10-0516"/>
    <x v="2"/>
    <s v="Mandalay"/>
    <x v="1"/>
    <s v="Male"/>
    <x v="2"/>
    <n v="45.97"/>
    <n v="4"/>
    <n v="9.1940000000000008"/>
    <n v="193.07400000000001"/>
    <d v="2019-09-02T00:00:00"/>
    <x v="110"/>
    <x v="0"/>
    <n v="183.88"/>
    <n v="4.7619047620000003"/>
    <n v="9.1940000000000008"/>
    <n v="5.0999999999999996"/>
    <n v="183.88"/>
    <x v="7"/>
    <n v="9"/>
    <x v="4"/>
  </r>
  <r>
    <s v="595-94-9924"/>
    <x v="0"/>
    <s v="Yangon"/>
    <x v="0"/>
    <s v="Female"/>
    <x v="0"/>
    <n v="27.73"/>
    <n v="5"/>
    <n v="6.9325000000000001"/>
    <n v="145.58250000000001"/>
    <d v="2019-03-26T00:00:00"/>
    <x v="277"/>
    <x v="2"/>
    <n v="138.65"/>
    <n v="4.7619047620000003"/>
    <n v="6.9325000000000001"/>
    <n v="4.2"/>
    <n v="138.65"/>
    <x v="2"/>
    <n v="3"/>
    <x v="5"/>
  </r>
  <r>
    <s v="865-41-9075"/>
    <x v="0"/>
    <s v="Yangon"/>
    <x v="1"/>
    <s v="Male"/>
    <x v="4"/>
    <n v="11.53"/>
    <n v="7"/>
    <n v="4.0354999999999999"/>
    <n v="84.745500000000007"/>
    <d v="2019-01-28T00:00:00"/>
    <x v="492"/>
    <x v="1"/>
    <n v="80.709999999999994"/>
    <n v="4.7619047620000003"/>
    <n v="4.0354999999999999"/>
    <n v="8.1"/>
    <n v="80.709999999999994"/>
    <x v="3"/>
    <n v="1"/>
    <x v="4"/>
  </r>
  <r>
    <s v="545-07-8534"/>
    <x v="1"/>
    <s v="Naypyitaw"/>
    <x v="1"/>
    <s v="Female"/>
    <x v="0"/>
    <n v="58.32"/>
    <n v="2"/>
    <n v="5.8319999999999999"/>
    <n v="122.47199999999999"/>
    <d v="2019-02-14T00:00:00"/>
    <x v="179"/>
    <x v="0"/>
    <n v="116.64"/>
    <n v="4.7619047620000003"/>
    <n v="5.8319999999999999"/>
    <n v="6"/>
    <n v="116.64"/>
    <x v="4"/>
    <n v="2"/>
    <x v="6"/>
  </r>
  <r>
    <s v="118-62-1812"/>
    <x v="1"/>
    <s v="Naypyitaw"/>
    <x v="0"/>
    <s v="Female"/>
    <x v="2"/>
    <n v="78.38"/>
    <n v="4"/>
    <n v="15.676"/>
    <n v="329.19600000000003"/>
    <d v="2019-03-24T00:00:00"/>
    <x v="493"/>
    <x v="1"/>
    <n v="313.52"/>
    <n v="4.7619047620000003"/>
    <n v="15.676"/>
    <n v="7.9"/>
    <n v="313.52"/>
    <x v="2"/>
    <n v="3"/>
    <x v="2"/>
  </r>
  <r>
    <s v="450-42-3339"/>
    <x v="1"/>
    <s v="Naypyitaw"/>
    <x v="1"/>
    <s v="Male"/>
    <x v="0"/>
    <n v="84.61"/>
    <n v="10"/>
    <n v="42.305"/>
    <n v="888.40499999999997"/>
    <d v="2019-09-02T00:00:00"/>
    <x v="262"/>
    <x v="2"/>
    <n v="846.1"/>
    <n v="4.7619047620000003"/>
    <n v="42.305"/>
    <n v="8.8000000000000007"/>
    <n v="846.1"/>
    <x v="7"/>
    <n v="9"/>
    <x v="4"/>
  </r>
  <r>
    <s v="851-98-3555"/>
    <x v="2"/>
    <s v="Mandalay"/>
    <x v="1"/>
    <s v="Female"/>
    <x v="0"/>
    <n v="82.88"/>
    <n v="5"/>
    <n v="20.72"/>
    <n v="435.12"/>
    <d v="2019-03-24T00:00:00"/>
    <x v="402"/>
    <x v="2"/>
    <n v="414.4"/>
    <n v="4.7619047620000003"/>
    <n v="20.72"/>
    <n v="6.6"/>
    <n v="414.4"/>
    <x v="2"/>
    <n v="3"/>
    <x v="2"/>
  </r>
  <r>
    <s v="186-71-5196"/>
    <x v="0"/>
    <s v="Yangon"/>
    <x v="0"/>
    <s v="Female"/>
    <x v="4"/>
    <n v="79.540000000000006"/>
    <n v="2"/>
    <n v="7.9539999999999997"/>
    <n v="167.03399999999999"/>
    <d v="2019-03-27T00:00:00"/>
    <x v="269"/>
    <x v="0"/>
    <n v="159.08000000000001"/>
    <n v="4.7619047620000003"/>
    <n v="7.9539999999999997"/>
    <n v="6.2"/>
    <n v="159.08000000000001"/>
    <x v="2"/>
    <n v="3"/>
    <x v="0"/>
  </r>
  <r>
    <s v="624-01-8356"/>
    <x v="2"/>
    <s v="Mandalay"/>
    <x v="1"/>
    <s v="Female"/>
    <x v="2"/>
    <n v="49.01"/>
    <n v="10"/>
    <n v="24.504999999999999"/>
    <n v="514.60500000000002"/>
    <d v="2019-01-27T00:00:00"/>
    <x v="494"/>
    <x v="2"/>
    <n v="490.1"/>
    <n v="4.7619047620000003"/>
    <n v="24.504999999999999"/>
    <n v="4.2"/>
    <n v="490.09999999999997"/>
    <x v="3"/>
    <n v="1"/>
    <x v="2"/>
  </r>
  <r>
    <s v="313-66-9943"/>
    <x v="2"/>
    <s v="Mandalay"/>
    <x v="0"/>
    <s v="Female"/>
    <x v="4"/>
    <n v="29.15"/>
    <n v="3"/>
    <n v="4.3724999999999996"/>
    <n v="91.822500000000005"/>
    <d v="2019-03-27T00:00:00"/>
    <x v="245"/>
    <x v="2"/>
    <n v="87.45"/>
    <n v="4.7619047620000003"/>
    <n v="4.3724999999999996"/>
    <n v="7.3"/>
    <n v="87.449999999999989"/>
    <x v="2"/>
    <n v="3"/>
    <x v="0"/>
  </r>
  <r>
    <s v="151-27-8496"/>
    <x v="1"/>
    <s v="Naypyitaw"/>
    <x v="1"/>
    <s v="Female"/>
    <x v="1"/>
    <n v="56.13"/>
    <n v="4"/>
    <n v="11.226000000000001"/>
    <n v="235.74600000000001"/>
    <d v="2019-01-19T00:00:00"/>
    <x v="354"/>
    <x v="0"/>
    <n v="224.52"/>
    <n v="4.7619047620000003"/>
    <n v="11.226000000000001"/>
    <n v="8.6"/>
    <n v="224.52"/>
    <x v="3"/>
    <n v="1"/>
    <x v="1"/>
  </r>
  <r>
    <s v="453-33-6436"/>
    <x v="0"/>
    <s v="Yangon"/>
    <x v="1"/>
    <s v="Female"/>
    <x v="2"/>
    <n v="93.12"/>
    <n v="8"/>
    <n v="37.247999999999998"/>
    <n v="782.20799999999997"/>
    <d v="2019-07-02T00:00:00"/>
    <x v="495"/>
    <x v="1"/>
    <n v="744.96"/>
    <n v="4.7619047620000003"/>
    <n v="37.247999999999998"/>
    <n v="6.8"/>
    <n v="744.96"/>
    <x v="9"/>
    <n v="7"/>
    <x v="5"/>
  </r>
  <r>
    <s v="522-57-8364"/>
    <x v="0"/>
    <s v="Yangon"/>
    <x v="0"/>
    <s v="Male"/>
    <x v="5"/>
    <n v="51.34"/>
    <n v="8"/>
    <n v="20.536000000000001"/>
    <n v="431.25599999999997"/>
    <d v="2019-01-31T00:00:00"/>
    <x v="158"/>
    <x v="0"/>
    <n v="410.72"/>
    <n v="4.7619047620000003"/>
    <n v="20.536000000000001"/>
    <n v="7.6"/>
    <n v="410.72"/>
    <x v="3"/>
    <n v="1"/>
    <x v="6"/>
  </r>
  <r>
    <s v="459-45-2396"/>
    <x v="0"/>
    <s v="Yangon"/>
    <x v="0"/>
    <s v="Female"/>
    <x v="4"/>
    <n v="99.6"/>
    <n v="3"/>
    <n v="14.94"/>
    <n v="313.74"/>
    <d v="2019-02-25T00:00:00"/>
    <x v="40"/>
    <x v="1"/>
    <n v="298.8"/>
    <n v="4.7619047620000003"/>
    <n v="14.94"/>
    <n v="5.8"/>
    <n v="298.79999999999995"/>
    <x v="4"/>
    <n v="2"/>
    <x v="4"/>
  </r>
  <r>
    <s v="717-96-4189"/>
    <x v="1"/>
    <s v="Naypyitaw"/>
    <x v="1"/>
    <s v="Female"/>
    <x v="1"/>
    <n v="35.49"/>
    <n v="6"/>
    <n v="10.647"/>
    <n v="223.58699999999999"/>
    <d v="2019-02-02T00:00:00"/>
    <x v="343"/>
    <x v="1"/>
    <n v="212.94"/>
    <n v="4.7619047620000003"/>
    <n v="10.647"/>
    <n v="4.0999999999999996"/>
    <n v="212.94"/>
    <x v="4"/>
    <n v="2"/>
    <x v="1"/>
  </r>
  <r>
    <s v="722-13-2115"/>
    <x v="1"/>
    <s v="Naypyitaw"/>
    <x v="0"/>
    <s v="Male"/>
    <x v="3"/>
    <n v="42.85"/>
    <n v="1"/>
    <n v="2.1425000000000001"/>
    <n v="44.9925"/>
    <d v="2019-03-14T00:00:00"/>
    <x v="29"/>
    <x v="2"/>
    <n v="42.85"/>
    <n v="4.7619047620000003"/>
    <n v="2.1425000000000001"/>
    <n v="9.3000000000000007"/>
    <n v="42.85"/>
    <x v="2"/>
    <n v="3"/>
    <x v="6"/>
  </r>
  <r>
    <s v="749-81-8133"/>
    <x v="0"/>
    <s v="Yangon"/>
    <x v="1"/>
    <s v="Female"/>
    <x v="5"/>
    <n v="94.67"/>
    <n v="4"/>
    <n v="18.934000000000001"/>
    <n v="397.61399999999998"/>
    <d v="2019-11-03T00:00:00"/>
    <x v="153"/>
    <x v="1"/>
    <n v="378.68"/>
    <n v="4.7619047620000003"/>
    <n v="18.934000000000001"/>
    <n v="6.8"/>
    <n v="378.68"/>
    <x v="10"/>
    <n v="11"/>
    <x v="2"/>
  </r>
  <r>
    <s v="777-67-2495"/>
    <x v="2"/>
    <s v="Mandalay"/>
    <x v="1"/>
    <s v="Male"/>
    <x v="2"/>
    <n v="68.97"/>
    <n v="3"/>
    <n v="10.345499999999999"/>
    <n v="217.25550000000001"/>
    <d v="2019-02-22T00:00:00"/>
    <x v="55"/>
    <x v="0"/>
    <n v="206.91"/>
    <n v="4.7619047620000003"/>
    <n v="10.345499999999999"/>
    <n v="8.6999999999999993"/>
    <n v="206.91"/>
    <x v="4"/>
    <n v="2"/>
    <x v="3"/>
  </r>
  <r>
    <s v="636-98-3364"/>
    <x v="2"/>
    <s v="Mandalay"/>
    <x v="0"/>
    <s v="Female"/>
    <x v="1"/>
    <n v="26.26"/>
    <n v="3"/>
    <n v="3.9390000000000001"/>
    <n v="82.718999999999994"/>
    <d v="2019-02-03T00:00:00"/>
    <x v="482"/>
    <x v="0"/>
    <n v="78.78"/>
    <n v="4.7619047620000003"/>
    <n v="3.9390000000000001"/>
    <n v="6.3"/>
    <n v="78.78"/>
    <x v="4"/>
    <n v="2"/>
    <x v="2"/>
  </r>
  <r>
    <s v="246-55-6923"/>
    <x v="1"/>
    <s v="Naypyitaw"/>
    <x v="0"/>
    <s v="Female"/>
    <x v="2"/>
    <n v="35.79"/>
    <n v="9"/>
    <n v="16.105499999999999"/>
    <n v="338.21550000000002"/>
    <d v="2019-10-03T00:00:00"/>
    <x v="379"/>
    <x v="2"/>
    <n v="322.11"/>
    <n v="4.7619047620000003"/>
    <n v="16.105499999999999"/>
    <n v="5.0999999999999996"/>
    <n v="322.11"/>
    <x v="5"/>
    <n v="10"/>
    <x v="6"/>
  </r>
  <r>
    <s v="181-82-6255"/>
    <x v="2"/>
    <s v="Mandalay"/>
    <x v="1"/>
    <s v="Female"/>
    <x v="2"/>
    <n v="16.37"/>
    <n v="6"/>
    <n v="4.9109999999999996"/>
    <n v="103.131"/>
    <d v="2019-08-02T00:00:00"/>
    <x v="496"/>
    <x v="1"/>
    <n v="98.22"/>
    <n v="4.7619047620000003"/>
    <n v="4.9109999999999996"/>
    <n v="7"/>
    <n v="98.22"/>
    <x v="1"/>
    <n v="8"/>
    <x v="3"/>
  </r>
  <r>
    <s v="838-02-1821"/>
    <x v="1"/>
    <s v="Naypyitaw"/>
    <x v="0"/>
    <s v="Female"/>
    <x v="2"/>
    <n v="12.73"/>
    <n v="2"/>
    <n v="1.2729999999999999"/>
    <n v="26.733000000000001"/>
    <d v="2019-02-22T00:00:00"/>
    <x v="334"/>
    <x v="2"/>
    <n v="25.46"/>
    <n v="4.7619047620000003"/>
    <n v="1.2729999999999999"/>
    <n v="5.2"/>
    <n v="25.46"/>
    <x v="4"/>
    <n v="2"/>
    <x v="3"/>
  </r>
  <r>
    <s v="887-42-0517"/>
    <x v="1"/>
    <s v="Naypyitaw"/>
    <x v="1"/>
    <s v="Female"/>
    <x v="3"/>
    <n v="83.14"/>
    <n v="7"/>
    <n v="29.099"/>
    <n v="611.07899999999995"/>
    <d v="2019-10-01T00:00:00"/>
    <x v="359"/>
    <x v="2"/>
    <n v="581.98"/>
    <n v="4.7619047620000003"/>
    <n v="29.099"/>
    <n v="6.6"/>
    <n v="581.98"/>
    <x v="5"/>
    <n v="10"/>
    <x v="5"/>
  </r>
  <r>
    <s v="457-12-0244"/>
    <x v="1"/>
    <s v="Naypyitaw"/>
    <x v="0"/>
    <s v="Female"/>
    <x v="3"/>
    <n v="35.22"/>
    <n v="6"/>
    <n v="10.566000000000001"/>
    <n v="221.886"/>
    <d v="2019-03-14T00:00:00"/>
    <x v="497"/>
    <x v="0"/>
    <n v="211.32"/>
    <n v="4.7619047620000003"/>
    <n v="10.566000000000001"/>
    <n v="6.5"/>
    <n v="211.32"/>
    <x v="2"/>
    <n v="3"/>
    <x v="6"/>
  </r>
  <r>
    <s v="226-34-0034"/>
    <x v="2"/>
    <s v="Mandalay"/>
    <x v="1"/>
    <s v="Female"/>
    <x v="1"/>
    <n v="13.78"/>
    <n v="4"/>
    <n v="2.7559999999999998"/>
    <n v="57.875999999999998"/>
    <d v="2019-10-01T00:00:00"/>
    <x v="498"/>
    <x v="0"/>
    <n v="55.12"/>
    <n v="4.7619047620000003"/>
    <n v="2.7559999999999998"/>
    <n v="9"/>
    <n v="55.12"/>
    <x v="5"/>
    <n v="10"/>
    <x v="5"/>
  </r>
  <r>
    <s v="321-49-7382"/>
    <x v="2"/>
    <s v="Mandalay"/>
    <x v="0"/>
    <s v="Male"/>
    <x v="3"/>
    <n v="88.31"/>
    <n v="1"/>
    <n v="4.4154999999999998"/>
    <n v="92.725499999999997"/>
    <d v="2019-02-15T00:00:00"/>
    <x v="180"/>
    <x v="2"/>
    <n v="88.31"/>
    <n v="4.7619047620000003"/>
    <n v="4.4154999999999998"/>
    <n v="5.2"/>
    <n v="88.31"/>
    <x v="4"/>
    <n v="2"/>
    <x v="3"/>
  </r>
  <r>
    <s v="397-25-8725"/>
    <x v="0"/>
    <s v="Yangon"/>
    <x v="0"/>
    <s v="Female"/>
    <x v="0"/>
    <n v="39.619999999999997"/>
    <n v="9"/>
    <n v="17.829000000000001"/>
    <n v="374.40899999999999"/>
    <d v="2019-01-13T00:00:00"/>
    <x v="297"/>
    <x v="2"/>
    <n v="356.58"/>
    <n v="4.7619047620000003"/>
    <n v="17.829000000000001"/>
    <n v="6.8"/>
    <n v="356.58"/>
    <x v="3"/>
    <n v="1"/>
    <x v="2"/>
  </r>
  <r>
    <s v="431-66-2305"/>
    <x v="2"/>
    <s v="Mandalay"/>
    <x v="1"/>
    <s v="Female"/>
    <x v="1"/>
    <n v="88.25"/>
    <n v="9"/>
    <n v="39.712499999999999"/>
    <n v="833.96249999999998"/>
    <d v="2019-02-15T00:00:00"/>
    <x v="259"/>
    <x v="2"/>
    <n v="794.25"/>
    <n v="4.7619047620000003"/>
    <n v="39.712499999999999"/>
    <n v="7.6"/>
    <n v="794.25"/>
    <x v="4"/>
    <n v="2"/>
    <x v="3"/>
  </r>
  <r>
    <s v="825-94-5922"/>
    <x v="2"/>
    <s v="Mandalay"/>
    <x v="1"/>
    <s v="Male"/>
    <x v="3"/>
    <n v="25.31"/>
    <n v="2"/>
    <n v="2.5310000000000001"/>
    <n v="53.151000000000003"/>
    <d v="2019-02-03T00:00:00"/>
    <x v="206"/>
    <x v="0"/>
    <n v="50.62"/>
    <n v="4.7619047620000003"/>
    <n v="2.5310000000000001"/>
    <n v="7.2"/>
    <n v="50.62"/>
    <x v="4"/>
    <n v="2"/>
    <x v="2"/>
  </r>
  <r>
    <s v="641-62-7288"/>
    <x v="2"/>
    <s v="Mandalay"/>
    <x v="1"/>
    <s v="Male"/>
    <x v="2"/>
    <n v="99.92"/>
    <n v="6"/>
    <n v="29.975999999999999"/>
    <n v="629.49599999999998"/>
    <d v="2019-03-24T00:00:00"/>
    <x v="499"/>
    <x v="0"/>
    <n v="599.52"/>
    <n v="4.7619047620000003"/>
    <n v="29.975999999999999"/>
    <n v="7.1"/>
    <n v="599.52"/>
    <x v="2"/>
    <n v="3"/>
    <x v="2"/>
  </r>
  <r>
    <s v="756-93-1854"/>
    <x v="1"/>
    <s v="Naypyitaw"/>
    <x v="0"/>
    <s v="Female"/>
    <x v="5"/>
    <n v="83.35"/>
    <n v="2"/>
    <n v="8.3350000000000009"/>
    <n v="175.035"/>
    <d v="2019-02-02T00:00:00"/>
    <x v="500"/>
    <x v="2"/>
    <n v="166.7"/>
    <n v="4.7619047620000003"/>
    <n v="8.3350000000000009"/>
    <n v="9.5"/>
    <n v="166.7"/>
    <x v="4"/>
    <n v="2"/>
    <x v="1"/>
  </r>
  <r>
    <s v="243-55-8457"/>
    <x v="0"/>
    <s v="Yangon"/>
    <x v="1"/>
    <s v="Female"/>
    <x v="4"/>
    <n v="74.44"/>
    <n v="10"/>
    <n v="37.22"/>
    <n v="781.62"/>
    <d v="2019-02-27T00:00:00"/>
    <x v="335"/>
    <x v="0"/>
    <n v="744.4"/>
    <n v="4.7619047620000003"/>
    <n v="37.22"/>
    <n v="5.0999999999999996"/>
    <n v="744.4"/>
    <x v="4"/>
    <n v="2"/>
    <x v="0"/>
  </r>
  <r>
    <s v="458-10-8612"/>
    <x v="1"/>
    <s v="Naypyitaw"/>
    <x v="1"/>
    <s v="Male"/>
    <x v="0"/>
    <n v="64.08"/>
    <n v="7"/>
    <n v="22.428000000000001"/>
    <n v="470.988"/>
    <d v="2019-01-20T00:00:00"/>
    <x v="62"/>
    <x v="0"/>
    <n v="448.56"/>
    <n v="4.7619047620000003"/>
    <n v="22.428000000000001"/>
    <n v="7.6"/>
    <n v="448.56"/>
    <x v="3"/>
    <n v="1"/>
    <x v="2"/>
  </r>
  <r>
    <s v="501-61-1753"/>
    <x v="2"/>
    <s v="Mandalay"/>
    <x v="1"/>
    <s v="Female"/>
    <x v="2"/>
    <n v="63.15"/>
    <n v="6"/>
    <n v="18.945"/>
    <n v="397.84500000000003"/>
    <d v="2019-03-01T00:00:00"/>
    <x v="181"/>
    <x v="0"/>
    <n v="378.9"/>
    <n v="4.7619047620000003"/>
    <n v="18.945"/>
    <n v="9.8000000000000007"/>
    <n v="378.9"/>
    <x v="2"/>
    <n v="3"/>
    <x v="3"/>
  </r>
  <r>
    <s v="235-06-8510"/>
    <x v="1"/>
    <s v="Naypyitaw"/>
    <x v="0"/>
    <s v="Male"/>
    <x v="2"/>
    <n v="85.72"/>
    <n v="3"/>
    <n v="12.858000000000001"/>
    <n v="270.01799999999997"/>
    <d v="2019-01-24T00:00:00"/>
    <x v="123"/>
    <x v="0"/>
    <n v="257.16000000000003"/>
    <n v="4.7619047620000003"/>
    <n v="12.858000000000001"/>
    <n v="5.0999999999999996"/>
    <n v="257.15999999999997"/>
    <x v="3"/>
    <n v="1"/>
    <x v="6"/>
  </r>
  <r>
    <s v="433-08-7822"/>
    <x v="1"/>
    <s v="Naypyitaw"/>
    <x v="1"/>
    <s v="Female"/>
    <x v="0"/>
    <n v="78.89"/>
    <n v="7"/>
    <n v="27.611499999999999"/>
    <n v="579.8415"/>
    <d v="2019-05-01T00:00:00"/>
    <x v="28"/>
    <x v="0"/>
    <n v="552.23"/>
    <n v="4.7619047620000003"/>
    <n v="27.611499999999999"/>
    <n v="7.5"/>
    <n v="552.23"/>
    <x v="0"/>
    <n v="5"/>
    <x v="0"/>
  </r>
  <r>
    <s v="361-85-2571"/>
    <x v="0"/>
    <s v="Yangon"/>
    <x v="1"/>
    <s v="Female"/>
    <x v="3"/>
    <n v="89.48"/>
    <n v="5"/>
    <n v="22.37"/>
    <n v="469.77"/>
    <d v="2019-03-30T00:00:00"/>
    <x v="392"/>
    <x v="1"/>
    <n v="447.4"/>
    <n v="4.7619047620000003"/>
    <n v="22.37"/>
    <n v="7.4"/>
    <n v="447.40000000000003"/>
    <x v="2"/>
    <n v="3"/>
    <x v="1"/>
  </r>
  <r>
    <s v="131-70-8179"/>
    <x v="0"/>
    <s v="Yangon"/>
    <x v="0"/>
    <s v="Female"/>
    <x v="0"/>
    <n v="92.09"/>
    <n v="3"/>
    <n v="13.813499999999999"/>
    <n v="290.08350000000002"/>
    <d v="2019-02-17T00:00:00"/>
    <x v="501"/>
    <x v="1"/>
    <n v="276.27"/>
    <n v="4.7619047620000003"/>
    <n v="13.813499999999999"/>
    <n v="4.2"/>
    <n v="276.27"/>
    <x v="4"/>
    <n v="2"/>
    <x v="2"/>
  </r>
  <r>
    <s v="500-02-2261"/>
    <x v="1"/>
    <s v="Naypyitaw"/>
    <x v="1"/>
    <s v="Female"/>
    <x v="4"/>
    <n v="57.29"/>
    <n v="6"/>
    <n v="17.187000000000001"/>
    <n v="360.92700000000002"/>
    <d v="2019-03-21T00:00:00"/>
    <x v="72"/>
    <x v="0"/>
    <n v="343.74"/>
    <n v="4.7619047620000003"/>
    <n v="17.187000000000001"/>
    <n v="5.9"/>
    <n v="343.74"/>
    <x v="2"/>
    <n v="3"/>
    <x v="6"/>
  </r>
  <r>
    <s v="720-72-2436"/>
    <x v="0"/>
    <s v="Yangon"/>
    <x v="1"/>
    <s v="Male"/>
    <x v="4"/>
    <n v="66.52"/>
    <n v="4"/>
    <n v="13.304"/>
    <n v="279.38400000000001"/>
    <d v="2019-02-03T00:00:00"/>
    <x v="92"/>
    <x v="0"/>
    <n v="266.08"/>
    <n v="4.7619047620000003"/>
    <n v="13.304"/>
    <n v="6.9"/>
    <n v="266.08"/>
    <x v="4"/>
    <n v="2"/>
    <x v="2"/>
  </r>
  <r>
    <s v="702-83-5291"/>
    <x v="1"/>
    <s v="Naypyitaw"/>
    <x v="0"/>
    <s v="Male"/>
    <x v="5"/>
    <n v="99.82"/>
    <n v="9"/>
    <n v="44.918999999999997"/>
    <n v="943.29899999999998"/>
    <d v="2019-03-27T00:00:00"/>
    <x v="100"/>
    <x v="1"/>
    <n v="898.38"/>
    <n v="4.7619047620000003"/>
    <n v="44.918999999999997"/>
    <n v="6.6"/>
    <n v="898.37999999999988"/>
    <x v="2"/>
    <n v="3"/>
    <x v="0"/>
  </r>
  <r>
    <s v="809-69-9497"/>
    <x v="0"/>
    <s v="Yangon"/>
    <x v="1"/>
    <s v="Female"/>
    <x v="2"/>
    <n v="45.68"/>
    <n v="10"/>
    <n v="22.84"/>
    <n v="479.64"/>
    <d v="2019-01-19T00:00:00"/>
    <x v="171"/>
    <x v="0"/>
    <n v="456.8"/>
    <n v="4.7619047620000003"/>
    <n v="22.84"/>
    <n v="5.7"/>
    <n v="456.8"/>
    <x v="3"/>
    <n v="1"/>
    <x v="1"/>
  </r>
  <r>
    <s v="449-16-6770"/>
    <x v="0"/>
    <s v="Yangon"/>
    <x v="1"/>
    <s v="Male"/>
    <x v="0"/>
    <n v="50.79"/>
    <n v="5"/>
    <n v="12.6975"/>
    <n v="266.64749999999998"/>
    <d v="2019-02-19T00:00:00"/>
    <x v="222"/>
    <x v="2"/>
    <n v="253.95"/>
    <n v="4.7619047620000003"/>
    <n v="12.6975"/>
    <n v="5.3"/>
    <n v="253.95"/>
    <x v="4"/>
    <n v="2"/>
    <x v="5"/>
  </r>
  <r>
    <s v="333-23-2632"/>
    <x v="0"/>
    <s v="Yangon"/>
    <x v="0"/>
    <s v="Male"/>
    <x v="0"/>
    <n v="10.08"/>
    <n v="7"/>
    <n v="3.528"/>
    <n v="74.087999999999994"/>
    <d v="2019-03-28T00:00:00"/>
    <x v="253"/>
    <x v="1"/>
    <n v="70.56"/>
    <n v="4.7619047620000003"/>
    <n v="3.528"/>
    <n v="4.2"/>
    <n v="70.56"/>
    <x v="2"/>
    <n v="3"/>
    <x v="6"/>
  </r>
  <r>
    <s v="489-82-1237"/>
    <x v="0"/>
    <s v="Yangon"/>
    <x v="1"/>
    <s v="Female"/>
    <x v="1"/>
    <n v="93.88"/>
    <n v="7"/>
    <n v="32.857999999999997"/>
    <n v="690.01800000000003"/>
    <d v="2019-05-01T00:00:00"/>
    <x v="159"/>
    <x v="2"/>
    <n v="657.16"/>
    <n v="4.7619047620000003"/>
    <n v="32.857999999999997"/>
    <n v="7.3"/>
    <n v="657.16"/>
    <x v="0"/>
    <n v="5"/>
    <x v="0"/>
  </r>
  <r>
    <s v="859-97-6048"/>
    <x v="1"/>
    <s v="Naypyitaw"/>
    <x v="0"/>
    <s v="Male"/>
    <x v="1"/>
    <n v="84.25"/>
    <n v="2"/>
    <n v="8.4250000000000007"/>
    <n v="176.92500000000001"/>
    <d v="2019-03-26T00:00:00"/>
    <x v="385"/>
    <x v="2"/>
    <n v="168.5"/>
    <n v="4.7619047620000003"/>
    <n v="8.4250000000000007"/>
    <n v="5.3"/>
    <n v="168.5"/>
    <x v="2"/>
    <n v="3"/>
    <x v="5"/>
  </r>
  <r>
    <s v="676-10-2200"/>
    <x v="2"/>
    <s v="Mandalay"/>
    <x v="0"/>
    <s v="Male"/>
    <x v="5"/>
    <n v="53.78"/>
    <n v="1"/>
    <n v="2.6890000000000001"/>
    <n v="56.469000000000001"/>
    <d v="2019-03-02T00:00:00"/>
    <x v="430"/>
    <x v="0"/>
    <n v="53.78"/>
    <n v="4.7619047620000003"/>
    <n v="2.6890000000000001"/>
    <n v="4.7"/>
    <n v="53.78"/>
    <x v="2"/>
    <n v="3"/>
    <x v="1"/>
  </r>
  <r>
    <s v="373-88-1424"/>
    <x v="1"/>
    <s v="Naypyitaw"/>
    <x v="0"/>
    <s v="Male"/>
    <x v="2"/>
    <n v="35.81"/>
    <n v="5"/>
    <n v="8.9525000000000006"/>
    <n v="188.0025"/>
    <d v="2019-06-02T00:00:00"/>
    <x v="114"/>
    <x v="0"/>
    <n v="179.05"/>
    <n v="4.7619047620000003"/>
    <n v="8.9525000000000006"/>
    <n v="7.9"/>
    <n v="179.05"/>
    <x v="6"/>
    <n v="6"/>
    <x v="2"/>
  </r>
  <r>
    <s v="365-16-4334"/>
    <x v="2"/>
    <s v="Mandalay"/>
    <x v="1"/>
    <s v="Female"/>
    <x v="4"/>
    <n v="26.43"/>
    <n v="8"/>
    <n v="10.571999999999999"/>
    <n v="222.012"/>
    <d v="2019-02-24T00:00:00"/>
    <x v="442"/>
    <x v="0"/>
    <n v="211.44"/>
    <n v="4.7619047620000003"/>
    <n v="10.571999999999999"/>
    <n v="8.9"/>
    <n v="211.44"/>
    <x v="4"/>
    <n v="2"/>
    <x v="2"/>
  </r>
  <r>
    <s v="503-21-4385"/>
    <x v="2"/>
    <s v="Mandalay"/>
    <x v="0"/>
    <s v="Male"/>
    <x v="0"/>
    <n v="39.909999999999997"/>
    <n v="3"/>
    <n v="5.9865000000000004"/>
    <n v="125.7165"/>
    <d v="2019-02-21T00:00:00"/>
    <x v="343"/>
    <x v="0"/>
    <n v="119.73"/>
    <n v="4.7619047620000003"/>
    <n v="5.9865000000000004"/>
    <n v="9.3000000000000007"/>
    <n v="119.72999999999999"/>
    <x v="4"/>
    <n v="2"/>
    <x v="6"/>
  </r>
  <r>
    <s v="305-89-2768"/>
    <x v="2"/>
    <s v="Mandalay"/>
    <x v="0"/>
    <s v="Female"/>
    <x v="2"/>
    <n v="21.9"/>
    <n v="3"/>
    <n v="3.2850000000000001"/>
    <n v="68.984999999999999"/>
    <d v="2019-09-01T00:00:00"/>
    <x v="362"/>
    <x v="0"/>
    <n v="65.7"/>
    <n v="4.7619047620000003"/>
    <n v="3.2850000000000001"/>
    <n v="4.7"/>
    <n v="65.699999999999989"/>
    <x v="7"/>
    <n v="9"/>
    <x v="2"/>
  </r>
  <r>
    <s v="574-80-1489"/>
    <x v="2"/>
    <s v="Mandalay"/>
    <x v="0"/>
    <s v="Female"/>
    <x v="4"/>
    <n v="62.85"/>
    <n v="4"/>
    <n v="12.57"/>
    <n v="263.97000000000003"/>
    <d v="2019-02-25T00:00:00"/>
    <x v="93"/>
    <x v="0"/>
    <n v="251.4"/>
    <n v="4.7619047620000003"/>
    <n v="12.57"/>
    <n v="8.6999999999999993"/>
    <n v="251.4"/>
    <x v="4"/>
    <n v="2"/>
    <x v="4"/>
  </r>
  <r>
    <s v="784-08-0310"/>
    <x v="1"/>
    <s v="Naypyitaw"/>
    <x v="0"/>
    <s v="Female"/>
    <x v="4"/>
    <n v="21.04"/>
    <n v="4"/>
    <n v="4.2080000000000002"/>
    <n v="88.367999999999995"/>
    <d v="2019-01-13T00:00:00"/>
    <x v="139"/>
    <x v="1"/>
    <n v="84.16"/>
    <n v="4.7619047620000003"/>
    <n v="4.2080000000000002"/>
    <n v="7.6"/>
    <n v="84.16"/>
    <x v="3"/>
    <n v="1"/>
    <x v="2"/>
  </r>
  <r>
    <s v="200-40-6154"/>
    <x v="2"/>
    <s v="Mandalay"/>
    <x v="0"/>
    <s v="Male"/>
    <x v="2"/>
    <n v="65.91"/>
    <n v="6"/>
    <n v="19.773"/>
    <n v="415.233"/>
    <d v="2019-09-02T00:00:00"/>
    <x v="393"/>
    <x v="1"/>
    <n v="395.46"/>
    <n v="4.7619047620000003"/>
    <n v="19.773"/>
    <n v="5.7"/>
    <n v="395.46"/>
    <x v="7"/>
    <n v="9"/>
    <x v="4"/>
  </r>
  <r>
    <s v="846-10-0341"/>
    <x v="0"/>
    <s v="Yangon"/>
    <x v="1"/>
    <s v="Female"/>
    <x v="5"/>
    <n v="42.57"/>
    <n v="7"/>
    <n v="14.8995"/>
    <n v="312.8895"/>
    <d v="2019-06-01T00:00:00"/>
    <x v="159"/>
    <x v="1"/>
    <n v="297.99"/>
    <n v="4.7619047620000003"/>
    <n v="14.8995"/>
    <n v="6.8"/>
    <n v="297.99"/>
    <x v="6"/>
    <n v="6"/>
    <x v="1"/>
  </r>
  <r>
    <s v="577-34-7579"/>
    <x v="1"/>
    <s v="Naypyitaw"/>
    <x v="0"/>
    <s v="Male"/>
    <x v="4"/>
    <n v="50.49"/>
    <n v="9"/>
    <n v="22.720500000000001"/>
    <n v="477.13049999999998"/>
    <d v="2019-10-01T00:00:00"/>
    <x v="361"/>
    <x v="1"/>
    <n v="454.41"/>
    <n v="4.7619047620000003"/>
    <n v="22.720500000000001"/>
    <n v="5.4"/>
    <n v="454.41"/>
    <x v="5"/>
    <n v="10"/>
    <x v="5"/>
  </r>
  <r>
    <s v="430-02-3888"/>
    <x v="2"/>
    <s v="Mandalay"/>
    <x v="1"/>
    <s v="Male"/>
    <x v="1"/>
    <n v="46.02"/>
    <n v="6"/>
    <n v="13.805999999999999"/>
    <n v="289.92599999999999"/>
    <d v="2019-07-02T00:00:00"/>
    <x v="57"/>
    <x v="1"/>
    <n v="276.12"/>
    <n v="4.7619047620000003"/>
    <n v="13.805999999999999"/>
    <n v="7.1"/>
    <n v="276.12"/>
    <x v="9"/>
    <n v="7"/>
    <x v="5"/>
  </r>
  <r>
    <s v="867-47-1948"/>
    <x v="1"/>
    <s v="Naypyitaw"/>
    <x v="1"/>
    <s v="Female"/>
    <x v="2"/>
    <n v="15.8"/>
    <n v="10"/>
    <n v="7.9"/>
    <n v="165.9"/>
    <d v="2019-09-01T00:00:00"/>
    <x v="348"/>
    <x v="1"/>
    <n v="158"/>
    <n v="4.7619047620000003"/>
    <n v="7.9"/>
    <n v="7.8"/>
    <n v="158"/>
    <x v="7"/>
    <n v="9"/>
    <x v="2"/>
  </r>
  <r>
    <s v="384-59-6655"/>
    <x v="0"/>
    <s v="Yangon"/>
    <x v="0"/>
    <s v="Female"/>
    <x v="4"/>
    <n v="98.66"/>
    <n v="9"/>
    <n v="44.396999999999998"/>
    <n v="932.33699999999999"/>
    <d v="2019-02-19T00:00:00"/>
    <x v="133"/>
    <x v="1"/>
    <n v="887.94"/>
    <n v="4.7619047620000003"/>
    <n v="44.396999999999998"/>
    <n v="8.4"/>
    <n v="887.93999999999994"/>
    <x v="4"/>
    <n v="2"/>
    <x v="5"/>
  </r>
  <r>
    <s v="256-58-3609"/>
    <x v="1"/>
    <s v="Naypyitaw"/>
    <x v="0"/>
    <s v="Male"/>
    <x v="5"/>
    <n v="91.98"/>
    <n v="1"/>
    <n v="4.5990000000000002"/>
    <n v="96.578999999999994"/>
    <d v="2019-03-18T00:00:00"/>
    <x v="406"/>
    <x v="1"/>
    <n v="91.98"/>
    <n v="4.7619047620000003"/>
    <n v="4.5990000000000002"/>
    <n v="9.8000000000000007"/>
    <n v="91.98"/>
    <x v="2"/>
    <n v="3"/>
    <x v="4"/>
  </r>
  <r>
    <s v="324-92-3863"/>
    <x v="0"/>
    <s v="Yangon"/>
    <x v="0"/>
    <s v="Male"/>
    <x v="1"/>
    <n v="20.89"/>
    <n v="2"/>
    <n v="2.089"/>
    <n v="43.869"/>
    <d v="2019-05-02T00:00:00"/>
    <x v="40"/>
    <x v="1"/>
    <n v="41.78"/>
    <n v="4.7619047620000003"/>
    <n v="2.089"/>
    <n v="9.8000000000000007"/>
    <n v="41.78"/>
    <x v="0"/>
    <n v="5"/>
    <x v="6"/>
  </r>
  <r>
    <s v="593-08-5916"/>
    <x v="0"/>
    <s v="Yangon"/>
    <x v="1"/>
    <s v="Female"/>
    <x v="5"/>
    <n v="15.5"/>
    <n v="1"/>
    <n v="0.77500000000000002"/>
    <n v="16.274999999999999"/>
    <d v="2019-03-19T00:00:00"/>
    <x v="502"/>
    <x v="2"/>
    <n v="15.5"/>
    <n v="4.7619047620000003"/>
    <n v="0.77500000000000002"/>
    <n v="7.4"/>
    <n v="15.5"/>
    <x v="2"/>
    <n v="3"/>
    <x v="5"/>
  </r>
  <r>
    <s v="364-34-2972"/>
    <x v="1"/>
    <s v="Naypyitaw"/>
    <x v="0"/>
    <s v="Male"/>
    <x v="1"/>
    <n v="96.82"/>
    <n v="3"/>
    <n v="14.523"/>
    <n v="304.983"/>
    <d v="2019-03-30T00:00:00"/>
    <x v="291"/>
    <x v="1"/>
    <n v="290.45999999999998"/>
    <n v="4.7619047620000003"/>
    <n v="14.523"/>
    <n v="6.7"/>
    <n v="290.45999999999998"/>
    <x v="2"/>
    <n v="3"/>
    <x v="1"/>
  </r>
  <r>
    <s v="794-42-3736"/>
    <x v="2"/>
    <s v="Mandalay"/>
    <x v="1"/>
    <s v="Male"/>
    <x v="4"/>
    <n v="33.33"/>
    <n v="2"/>
    <n v="3.3330000000000002"/>
    <n v="69.992999999999995"/>
    <d v="2019-01-26T00:00:00"/>
    <x v="400"/>
    <x v="2"/>
    <n v="66.66"/>
    <n v="4.7619047620000003"/>
    <n v="3.3330000000000002"/>
    <n v="6.4"/>
    <n v="66.66"/>
    <x v="3"/>
    <n v="1"/>
    <x v="1"/>
  </r>
  <r>
    <s v="172-42-8274"/>
    <x v="2"/>
    <s v="Mandalay"/>
    <x v="1"/>
    <s v="Female"/>
    <x v="1"/>
    <n v="38.270000000000003"/>
    <n v="2"/>
    <n v="3.827"/>
    <n v="80.367000000000004"/>
    <d v="2019-02-03T00:00:00"/>
    <x v="503"/>
    <x v="2"/>
    <n v="76.540000000000006"/>
    <n v="4.7619047620000003"/>
    <n v="3.827"/>
    <n v="5.8"/>
    <n v="76.540000000000006"/>
    <x v="4"/>
    <n v="2"/>
    <x v="2"/>
  </r>
  <r>
    <s v="558-60-5016"/>
    <x v="0"/>
    <s v="Yangon"/>
    <x v="1"/>
    <s v="Female"/>
    <x v="2"/>
    <n v="33.299999999999997"/>
    <n v="9"/>
    <n v="14.984999999999999"/>
    <n v="314.685"/>
    <d v="2019-04-03T00:00:00"/>
    <x v="398"/>
    <x v="0"/>
    <n v="299.7"/>
    <n v="4.7619047620000003"/>
    <n v="14.984999999999999"/>
    <n v="7.2"/>
    <n v="299.7"/>
    <x v="11"/>
    <n v="4"/>
    <x v="0"/>
  </r>
  <r>
    <s v="195-06-0432"/>
    <x v="0"/>
    <s v="Yangon"/>
    <x v="0"/>
    <s v="Male"/>
    <x v="2"/>
    <n v="81.010000000000005"/>
    <n v="3"/>
    <n v="12.1515"/>
    <n v="255.1815"/>
    <d v="2019-01-13T00:00:00"/>
    <x v="197"/>
    <x v="2"/>
    <n v="243.03"/>
    <n v="4.7619047620000003"/>
    <n v="12.1515"/>
    <n v="9.3000000000000007"/>
    <n v="243.03000000000003"/>
    <x v="3"/>
    <n v="1"/>
    <x v="2"/>
  </r>
  <r>
    <s v="605-03-2706"/>
    <x v="0"/>
    <s v="Yangon"/>
    <x v="1"/>
    <s v="Female"/>
    <x v="0"/>
    <n v="15.8"/>
    <n v="3"/>
    <n v="2.37"/>
    <n v="49.77"/>
    <d v="2019-03-25T00:00:00"/>
    <x v="454"/>
    <x v="1"/>
    <n v="47.4"/>
    <n v="4.7619047620000003"/>
    <n v="2.37"/>
    <n v="9.5"/>
    <n v="47.400000000000006"/>
    <x v="2"/>
    <n v="3"/>
    <x v="4"/>
  </r>
  <r>
    <s v="214-30-2776"/>
    <x v="2"/>
    <s v="Mandalay"/>
    <x v="0"/>
    <s v="Female"/>
    <x v="1"/>
    <n v="34.49"/>
    <n v="5"/>
    <n v="8.6225000000000005"/>
    <n v="181.07249999999999"/>
    <d v="2019-11-03T00:00:00"/>
    <x v="143"/>
    <x v="2"/>
    <n v="172.45"/>
    <n v="4.7619047620000003"/>
    <n v="8.6225000000000005"/>
    <n v="9"/>
    <n v="172.45000000000002"/>
    <x v="10"/>
    <n v="11"/>
    <x v="2"/>
  </r>
  <r>
    <s v="746-04-1077"/>
    <x v="2"/>
    <s v="Mandalay"/>
    <x v="0"/>
    <s v="Female"/>
    <x v="4"/>
    <n v="84.63"/>
    <n v="10"/>
    <n v="42.314999999999998"/>
    <n v="888.61500000000001"/>
    <d v="2019-01-01T00:00:00"/>
    <x v="150"/>
    <x v="2"/>
    <n v="846.3"/>
    <n v="4.7619047620000003"/>
    <n v="42.314999999999998"/>
    <n v="9"/>
    <n v="846.3"/>
    <x v="3"/>
    <n v="1"/>
    <x v="5"/>
  </r>
  <r>
    <s v="448-34-8700"/>
    <x v="2"/>
    <s v="Mandalay"/>
    <x v="0"/>
    <s v="Male"/>
    <x v="2"/>
    <n v="36.909999999999997"/>
    <n v="7"/>
    <n v="12.9185"/>
    <n v="271.2885"/>
    <d v="2019-10-02T00:00:00"/>
    <x v="477"/>
    <x v="0"/>
    <n v="258.37"/>
    <n v="4.7619047620000003"/>
    <n v="12.9185"/>
    <n v="6.7"/>
    <n v="258.37"/>
    <x v="5"/>
    <n v="10"/>
    <x v="0"/>
  </r>
  <r>
    <s v="452-04-8808"/>
    <x v="2"/>
    <s v="Mandalay"/>
    <x v="1"/>
    <s v="Male"/>
    <x v="1"/>
    <n v="87.08"/>
    <n v="7"/>
    <n v="30.478000000000002"/>
    <n v="640.03800000000001"/>
    <d v="2019-01-26T00:00:00"/>
    <x v="504"/>
    <x v="1"/>
    <n v="609.55999999999995"/>
    <n v="4.7619047620000003"/>
    <n v="30.478000000000002"/>
    <n v="5.5"/>
    <n v="609.55999999999995"/>
    <x v="3"/>
    <n v="1"/>
    <x v="1"/>
  </r>
  <r>
    <s v="531-56-4728"/>
    <x v="0"/>
    <s v="Yangon"/>
    <x v="1"/>
    <s v="Male"/>
    <x v="2"/>
    <n v="80.08"/>
    <n v="3"/>
    <n v="12.012"/>
    <n v="252.25200000000001"/>
    <d v="2019-11-02T00:00:00"/>
    <x v="406"/>
    <x v="1"/>
    <n v="240.24"/>
    <n v="4.7619047620000003"/>
    <n v="12.012"/>
    <n v="5.4"/>
    <n v="240.24"/>
    <x v="10"/>
    <n v="11"/>
    <x v="1"/>
  </r>
  <r>
    <s v="744-82-9138"/>
    <x v="1"/>
    <s v="Naypyitaw"/>
    <x v="1"/>
    <s v="Male"/>
    <x v="5"/>
    <n v="86.13"/>
    <n v="2"/>
    <n v="8.6129999999999995"/>
    <n v="180.87299999999999"/>
    <d v="2019-07-02T00:00:00"/>
    <x v="422"/>
    <x v="1"/>
    <n v="172.26"/>
    <n v="4.7619047620000003"/>
    <n v="8.6129999999999995"/>
    <n v="8.1999999999999993"/>
    <n v="172.26"/>
    <x v="9"/>
    <n v="7"/>
    <x v="5"/>
  </r>
  <r>
    <s v="883-69-1285"/>
    <x v="2"/>
    <s v="Mandalay"/>
    <x v="0"/>
    <s v="Male"/>
    <x v="5"/>
    <n v="49.92"/>
    <n v="2"/>
    <n v="4.992"/>
    <n v="104.83199999999999"/>
    <d v="2019-06-03T00:00:00"/>
    <x v="479"/>
    <x v="2"/>
    <n v="99.84"/>
    <n v="4.7619047620000003"/>
    <n v="4.992"/>
    <n v="7"/>
    <n v="99.84"/>
    <x v="6"/>
    <n v="6"/>
    <x v="4"/>
  </r>
  <r>
    <s v="221-25-5073"/>
    <x v="0"/>
    <s v="Yangon"/>
    <x v="1"/>
    <s v="Female"/>
    <x v="4"/>
    <n v="74.66"/>
    <n v="4"/>
    <n v="14.932"/>
    <n v="313.572"/>
    <d v="2019-04-03T00:00:00"/>
    <x v="17"/>
    <x v="1"/>
    <n v="298.64"/>
    <n v="4.7619047620000003"/>
    <n v="14.932"/>
    <n v="8.5"/>
    <n v="298.64"/>
    <x v="11"/>
    <n v="4"/>
    <x v="0"/>
  </r>
  <r>
    <s v="518-71-6847"/>
    <x v="2"/>
    <s v="Mandalay"/>
    <x v="0"/>
    <s v="Male"/>
    <x v="4"/>
    <n v="26.6"/>
    <n v="6"/>
    <n v="7.98"/>
    <n v="167.58"/>
    <d v="2019-02-26T00:00:00"/>
    <x v="50"/>
    <x v="0"/>
    <n v="159.6"/>
    <n v="4.7619047620000003"/>
    <n v="7.98"/>
    <n v="4.9000000000000004"/>
    <n v="159.60000000000002"/>
    <x v="4"/>
    <n v="2"/>
    <x v="5"/>
  </r>
  <r>
    <s v="156-20-0370"/>
    <x v="2"/>
    <s v="Mandalay"/>
    <x v="1"/>
    <s v="Female"/>
    <x v="1"/>
    <n v="25.45"/>
    <n v="1"/>
    <n v="1.2725"/>
    <n v="26.7225"/>
    <d v="2019-10-03T00:00:00"/>
    <x v="397"/>
    <x v="2"/>
    <n v="25.45"/>
    <n v="4.7619047620000003"/>
    <n v="1.2725"/>
    <n v="5.0999999999999996"/>
    <n v="25.45"/>
    <x v="5"/>
    <n v="10"/>
    <x v="6"/>
  </r>
  <r>
    <s v="151-33-7434"/>
    <x v="2"/>
    <s v="Mandalay"/>
    <x v="1"/>
    <s v="Female"/>
    <x v="4"/>
    <n v="67.77"/>
    <n v="1"/>
    <n v="3.3885000000000001"/>
    <n v="71.158500000000004"/>
    <d v="2019-04-02T00:00:00"/>
    <x v="413"/>
    <x v="2"/>
    <n v="67.77"/>
    <n v="4.7619047620000003"/>
    <n v="3.3885000000000001"/>
    <n v="6.5"/>
    <n v="67.77"/>
    <x v="11"/>
    <n v="4"/>
    <x v="5"/>
  </r>
  <r>
    <s v="728-47-9078"/>
    <x v="1"/>
    <s v="Naypyitaw"/>
    <x v="0"/>
    <s v="Male"/>
    <x v="4"/>
    <n v="59.59"/>
    <n v="4"/>
    <n v="11.917999999999999"/>
    <n v="250.27799999999999"/>
    <d v="2019-01-19T00:00:00"/>
    <x v="69"/>
    <x v="1"/>
    <n v="238.36"/>
    <n v="4.7619047620000003"/>
    <n v="11.917999999999999"/>
    <n v="9.8000000000000007"/>
    <n v="238.36"/>
    <x v="3"/>
    <n v="1"/>
    <x v="1"/>
  </r>
  <r>
    <s v="809-46-1866"/>
    <x v="0"/>
    <s v="Yangon"/>
    <x v="1"/>
    <s v="Male"/>
    <x v="0"/>
    <n v="58.15"/>
    <n v="4"/>
    <n v="11.63"/>
    <n v="244.23"/>
    <d v="2019-01-23T00:00:00"/>
    <x v="292"/>
    <x v="1"/>
    <n v="232.6"/>
    <n v="4.7619047620000003"/>
    <n v="11.63"/>
    <n v="8.4"/>
    <n v="232.6"/>
    <x v="3"/>
    <n v="1"/>
    <x v="0"/>
  </r>
  <r>
    <s v="139-32-4183"/>
    <x v="0"/>
    <s v="Yangon"/>
    <x v="0"/>
    <s v="Female"/>
    <x v="3"/>
    <n v="97.48"/>
    <n v="9"/>
    <n v="43.866"/>
    <n v="921.18600000000004"/>
    <d v="2019-03-14T00:00:00"/>
    <x v="401"/>
    <x v="0"/>
    <n v="877.32"/>
    <n v="4.7619047620000003"/>
    <n v="43.866"/>
    <n v="7.4"/>
    <n v="877.32"/>
    <x v="2"/>
    <n v="3"/>
    <x v="6"/>
  </r>
  <r>
    <s v="148-41-7930"/>
    <x v="1"/>
    <s v="Naypyitaw"/>
    <x v="1"/>
    <s v="Male"/>
    <x v="0"/>
    <n v="99.96"/>
    <n v="7"/>
    <n v="34.985999999999997"/>
    <n v="734.70600000000002"/>
    <d v="2019-01-23T00:00:00"/>
    <x v="373"/>
    <x v="1"/>
    <n v="699.72"/>
    <n v="4.7619047620000003"/>
    <n v="34.985999999999997"/>
    <n v="6.1"/>
    <n v="699.71999999999991"/>
    <x v="3"/>
    <n v="1"/>
    <x v="0"/>
  </r>
  <r>
    <s v="189-40-5216"/>
    <x v="1"/>
    <s v="Naypyitaw"/>
    <x v="1"/>
    <s v="Male"/>
    <x v="1"/>
    <n v="96.37"/>
    <n v="7"/>
    <n v="33.729500000000002"/>
    <n v="708.31949999999995"/>
    <d v="2019-09-01T00:00:00"/>
    <x v="335"/>
    <x v="1"/>
    <n v="674.59"/>
    <n v="4.7619047620000003"/>
    <n v="33.729500000000002"/>
    <n v="6"/>
    <n v="674.59"/>
    <x v="7"/>
    <n v="9"/>
    <x v="2"/>
  </r>
  <r>
    <s v="374-38-5555"/>
    <x v="2"/>
    <s v="Mandalay"/>
    <x v="1"/>
    <s v="Female"/>
    <x v="5"/>
    <n v="63.71"/>
    <n v="5"/>
    <n v="15.9275"/>
    <n v="334.47750000000002"/>
    <d v="2019-07-02T00:00:00"/>
    <x v="171"/>
    <x v="0"/>
    <n v="318.55"/>
    <n v="4.7619047620000003"/>
    <n v="15.9275"/>
    <n v="8.5"/>
    <n v="318.55"/>
    <x v="9"/>
    <n v="7"/>
    <x v="5"/>
  </r>
  <r>
    <s v="764-44-8999"/>
    <x v="2"/>
    <s v="Mandalay"/>
    <x v="1"/>
    <s v="Female"/>
    <x v="0"/>
    <n v="14.76"/>
    <n v="2"/>
    <n v="1.476"/>
    <n v="30.995999999999999"/>
    <d v="2019-02-18T00:00:00"/>
    <x v="51"/>
    <x v="0"/>
    <n v="29.52"/>
    <n v="4.7619047620000003"/>
    <n v="1.476"/>
    <n v="4.3"/>
    <n v="29.52"/>
    <x v="4"/>
    <n v="2"/>
    <x v="4"/>
  </r>
  <r>
    <s v="552-44-5977"/>
    <x v="2"/>
    <s v="Mandalay"/>
    <x v="0"/>
    <s v="Male"/>
    <x v="0"/>
    <n v="62"/>
    <n v="8"/>
    <n v="24.8"/>
    <n v="520.79999999999995"/>
    <d v="2019-03-01T00:00:00"/>
    <x v="168"/>
    <x v="2"/>
    <n v="496"/>
    <n v="4.7619047620000003"/>
    <n v="24.8"/>
    <n v="6.2"/>
    <n v="496"/>
    <x v="2"/>
    <n v="3"/>
    <x v="3"/>
  </r>
  <r>
    <s v="267-62-7380"/>
    <x v="1"/>
    <s v="Naypyitaw"/>
    <x v="0"/>
    <s v="Male"/>
    <x v="1"/>
    <n v="82.34"/>
    <n v="10"/>
    <n v="41.17"/>
    <n v="864.57"/>
    <d v="2019-03-29T00:00:00"/>
    <x v="505"/>
    <x v="0"/>
    <n v="823.4"/>
    <n v="4.7619047620000003"/>
    <n v="41.17"/>
    <n v="4.3"/>
    <n v="823.40000000000009"/>
    <x v="2"/>
    <n v="3"/>
    <x v="3"/>
  </r>
  <r>
    <s v="430-53-4718"/>
    <x v="2"/>
    <s v="Mandalay"/>
    <x v="0"/>
    <s v="Male"/>
    <x v="0"/>
    <n v="75.37"/>
    <n v="8"/>
    <n v="30.148"/>
    <n v="633.10799999999995"/>
    <d v="2019-01-28T00:00:00"/>
    <x v="52"/>
    <x v="2"/>
    <n v="602.96"/>
    <n v="4.7619047620000003"/>
    <n v="30.148"/>
    <n v="8.4"/>
    <n v="602.96"/>
    <x v="3"/>
    <n v="1"/>
    <x v="4"/>
  </r>
  <r>
    <s v="886-18-2897"/>
    <x v="0"/>
    <s v="Yangon"/>
    <x v="1"/>
    <s v="Female"/>
    <x v="4"/>
    <n v="56.56"/>
    <n v="5"/>
    <n v="14.14"/>
    <n v="296.94"/>
    <d v="2019-03-22T00:00:00"/>
    <x v="216"/>
    <x v="2"/>
    <n v="282.8"/>
    <n v="4.7619047620000003"/>
    <n v="14.14"/>
    <n v="4.5"/>
    <n v="282.8"/>
    <x v="2"/>
    <n v="3"/>
    <x v="3"/>
  </r>
  <r>
    <s v="602-16-6955"/>
    <x v="2"/>
    <s v="Mandalay"/>
    <x v="1"/>
    <s v="Female"/>
    <x v="3"/>
    <n v="76.599999999999994"/>
    <n v="10"/>
    <n v="38.299999999999997"/>
    <n v="804.3"/>
    <d v="2019-01-24T00:00:00"/>
    <x v="397"/>
    <x v="0"/>
    <n v="766"/>
    <n v="4.7619047620000003"/>
    <n v="38.299999999999997"/>
    <n v="6"/>
    <n v="766"/>
    <x v="3"/>
    <n v="1"/>
    <x v="6"/>
  </r>
  <r>
    <s v="745-74-0715"/>
    <x v="0"/>
    <s v="Yangon"/>
    <x v="1"/>
    <s v="Male"/>
    <x v="1"/>
    <n v="58.03"/>
    <n v="2"/>
    <n v="5.8029999999999999"/>
    <n v="121.863"/>
    <d v="2019-10-03T00:00:00"/>
    <x v="351"/>
    <x v="0"/>
    <n v="116.06"/>
    <n v="4.7619047620000003"/>
    <n v="5.8029999999999999"/>
    <n v="8.8000000000000007"/>
    <n v="116.06"/>
    <x v="5"/>
    <n v="10"/>
    <x v="6"/>
  </r>
  <r>
    <s v="690-01-6631"/>
    <x v="2"/>
    <s v="Mandalay"/>
    <x v="1"/>
    <s v="Male"/>
    <x v="5"/>
    <n v="17.489999999999998"/>
    <n v="10"/>
    <n v="8.7449999999999992"/>
    <n v="183.64500000000001"/>
    <d v="2019-02-22T00:00:00"/>
    <x v="476"/>
    <x v="0"/>
    <n v="174.9"/>
    <n v="4.7619047620000003"/>
    <n v="8.7449999999999992"/>
    <n v="6.6"/>
    <n v="174.89999999999998"/>
    <x v="4"/>
    <n v="2"/>
    <x v="3"/>
  </r>
  <r>
    <s v="652-49-6720"/>
    <x v="1"/>
    <s v="Naypyitaw"/>
    <x v="0"/>
    <s v="Female"/>
    <x v="1"/>
    <n v="60.95"/>
    <n v="1"/>
    <n v="3.0474999999999999"/>
    <n v="63.997500000000002"/>
    <d v="2019-02-18T00:00:00"/>
    <x v="335"/>
    <x v="0"/>
    <n v="60.95"/>
    <n v="4.7619047620000003"/>
    <n v="3.0474999999999999"/>
    <n v="5.9"/>
    <n v="60.95"/>
    <x v="4"/>
    <n v="2"/>
    <x v="4"/>
  </r>
  <r>
    <s v="233-67-5758"/>
    <x v="1"/>
    <s v="Naypyitaw"/>
    <x v="1"/>
    <s v="Male"/>
    <x v="0"/>
    <n v="40.35"/>
    <n v="1"/>
    <n v="2.0175000000000001"/>
    <n v="42.3675"/>
    <d v="2019-01-29T00:00:00"/>
    <x v="190"/>
    <x v="0"/>
    <n v="40.35"/>
    <n v="4.7619047620000003"/>
    <n v="2.0175000000000001"/>
    <n v="6.2"/>
    <n v="40.35"/>
    <x v="3"/>
    <n v="1"/>
    <x v="5"/>
  </r>
  <r>
    <s v="303-96-2227"/>
    <x v="2"/>
    <s v="Mandalay"/>
    <x v="1"/>
    <s v="Female"/>
    <x v="2"/>
    <n v="97.38"/>
    <n v="10"/>
    <n v="48.69"/>
    <n v="1022.49"/>
    <d v="2019-02-03T00:00:00"/>
    <x v="361"/>
    <x v="0"/>
    <n v="973.8"/>
    <n v="4.7619047620000003"/>
    <n v="48.69"/>
    <n v="4.4000000000000004"/>
    <n v="973.8"/>
    <x v="4"/>
    <n v="2"/>
    <x v="2"/>
  </r>
  <r>
    <s v="727-02-1313"/>
    <x v="0"/>
    <s v="Yangon"/>
    <x v="0"/>
    <s v="Male"/>
    <x v="4"/>
    <n v="31.84"/>
    <n v="1"/>
    <n v="1.5920000000000001"/>
    <n v="33.432000000000002"/>
    <d v="2019-09-02T00:00:00"/>
    <x v="93"/>
    <x v="1"/>
    <n v="31.84"/>
    <n v="4.7619047620000003"/>
    <n v="1.5920000000000001"/>
    <n v="7.7"/>
    <n v="31.84"/>
    <x v="7"/>
    <n v="9"/>
    <x v="4"/>
  </r>
  <r>
    <s v="347-56-2442"/>
    <x v="0"/>
    <s v="Yangon"/>
    <x v="1"/>
    <s v="Male"/>
    <x v="2"/>
    <n v="65.819999999999993"/>
    <n v="1"/>
    <n v="3.2909999999999999"/>
    <n v="69.111000000000004"/>
    <d v="2019-02-22T00:00:00"/>
    <x v="439"/>
    <x v="1"/>
    <n v="65.819999999999993"/>
    <n v="4.7619047620000003"/>
    <n v="3.2909999999999999"/>
    <n v="4.0999999999999996"/>
    <n v="65.819999999999993"/>
    <x v="4"/>
    <n v="2"/>
    <x v="3"/>
  </r>
  <r>
    <s v="849-09-3807"/>
    <x v="0"/>
    <s v="Yangon"/>
    <x v="0"/>
    <s v="Female"/>
    <x v="5"/>
    <n v="88.34"/>
    <n v="7"/>
    <n v="30.919"/>
    <n v="649.29899999999998"/>
    <d v="2019-02-18T00:00:00"/>
    <x v="360"/>
    <x v="1"/>
    <n v="618.38"/>
    <n v="4.7619047620000003"/>
    <n v="30.919"/>
    <n v="6.6"/>
    <n v="618.38"/>
    <x v="4"/>
    <n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C0D6F-2163-AC44-B910-91CCF097671A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6" firstHeaderRow="1" firstDataRow="1" firstDataCol="1"/>
  <pivotFields count="23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Revenue" fld="17" subtotal="average" baseField="0" baseItem="0" numFmtId="171"/>
  </dataFields>
  <formats count="2">
    <format dxfId="4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6F26FF-8695-2041-87AE-15C72583E570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5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22"/>
  </rowFields>
  <rowItems count="12"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Revenue" fld="17" baseField="0" baseItem="0" numFmtId="171"/>
  </dataFields>
  <formats count="2">
    <format dxfId="42">
      <pivotArea outline="0" collapsedLevelsAreSubtotals="1" fieldPosition="0"/>
    </format>
    <format dxfId="3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8BEB3-D57E-4F4A-8F4E-D89884AF0397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3">
        <item x="3"/>
        <item x="4"/>
        <item x="2"/>
        <item x="11"/>
        <item x="0"/>
        <item x="6"/>
        <item x="9"/>
        <item x="1"/>
        <item x="7"/>
        <item x="5"/>
        <item x="10"/>
        <item x="8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7" baseField="0" baseItem="0" numFmtId="171"/>
  </dataFields>
  <formats count="2">
    <format dxfId="35">
      <pivotArea outline="0" collapsedLevelsAreSubtotals="1" fieldPosition="0"/>
    </format>
    <format dxfId="3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1B876-08EE-D74A-A6C6-AECA3FBDB439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23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showAll="0"/>
    <pivotField showAll="0"/>
    <pivotField numFmtId="14"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3">
        <item x="3"/>
        <item x="4"/>
        <item x="2"/>
        <item x="11"/>
        <item x="0"/>
        <item x="6"/>
        <item x="9"/>
        <item x="1"/>
        <item x="7"/>
        <item x="5"/>
        <item x="10"/>
        <item x="8"/>
        <item t="default"/>
      </items>
    </pivotField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7" baseField="0" baseItem="0" numFmtId="171"/>
  </dataFields>
  <formats count="4">
    <format dxfId="72">
      <pivotArea collapsedLevelsAreSubtotals="1" fieldPosition="0">
        <references count="1">
          <reference field="5" count="0"/>
        </references>
      </pivotArea>
    </format>
    <format dxfId="71">
      <pivotArea dataOnly="0" labelOnly="1" fieldPosition="0">
        <references count="1">
          <reference field="5" count="0"/>
        </references>
      </pivotArea>
    </format>
    <format dxfId="28">
      <pivotArea outline="0" collapsedLevelsAreSubtotals="1" fieldPosition="0"/>
    </format>
    <format dxfId="2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7F2DC-94E9-6049-A861-C78C3EA57148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7" baseField="0" baseItem="0" numFmtId="171"/>
  </dataFields>
  <formats count="5">
    <format dxfId="49">
      <pivotArea outline="0" collapsedLevelsAreSubtotals="1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40E37-AB6A-D941-97E6-1F2DE1E83CC9}" name="PivotTable8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4"/>
        <item x="5"/>
        <item x="0"/>
        <item x="6"/>
        <item x="3"/>
        <item x="1"/>
        <item x="2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17" baseField="0" baseItem="0" numFmtId="171"/>
  </dataFields>
  <formats count="2">
    <format dxfId="18">
      <pivotArea outline="0" collapsedLevelsAreSubtotals="1" fieldPosition="0"/>
    </format>
    <format dxfId="15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97A3A-2140-3E47-8B41-ADB3DC3734E3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3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9" showAll="0">
      <items count="507">
        <item x="158"/>
        <item x="175"/>
        <item x="177"/>
        <item x="487"/>
        <item x="67"/>
        <item x="469"/>
        <item x="389"/>
        <item x="257"/>
        <item x="495"/>
        <item x="468"/>
        <item x="41"/>
        <item x="33"/>
        <item x="173"/>
        <item x="91"/>
        <item x="79"/>
        <item x="392"/>
        <item x="49"/>
        <item x="251"/>
        <item x="417"/>
        <item x="81"/>
        <item x="12"/>
        <item x="306"/>
        <item x="367"/>
        <item x="1"/>
        <item x="363"/>
        <item x="359"/>
        <item x="373"/>
        <item x="352"/>
        <item x="130"/>
        <item x="4"/>
        <item x="440"/>
        <item x="17"/>
        <item x="21"/>
        <item x="103"/>
        <item x="34"/>
        <item x="100"/>
        <item x="494"/>
        <item x="220"/>
        <item x="346"/>
        <item x="368"/>
        <item x="155"/>
        <item x="196"/>
        <item x="164"/>
        <item x="200"/>
        <item x="60"/>
        <item x="315"/>
        <item x="496"/>
        <item x="224"/>
        <item x="471"/>
        <item x="327"/>
        <item x="16"/>
        <item x="474"/>
        <item x="281"/>
        <item x="383"/>
        <item x="237"/>
        <item x="498"/>
        <item x="289"/>
        <item x="23"/>
        <item x="447"/>
        <item x="342"/>
        <item x="428"/>
        <item x="161"/>
        <item x="207"/>
        <item x="274"/>
        <item x="218"/>
        <item x="219"/>
        <item x="20"/>
        <item x="210"/>
        <item x="55"/>
        <item x="94"/>
        <item x="56"/>
        <item x="403"/>
        <item x="170"/>
        <item x="102"/>
        <item x="458"/>
        <item x="261"/>
        <item x="150"/>
        <item x="7"/>
        <item x="411"/>
        <item x="335"/>
        <item x="437"/>
        <item x="354"/>
        <item x="231"/>
        <item x="393"/>
        <item x="246"/>
        <item x="340"/>
        <item x="53"/>
        <item x="159"/>
        <item x="408"/>
        <item x="479"/>
        <item x="135"/>
        <item x="176"/>
        <item x="452"/>
        <item x="421"/>
        <item x="209"/>
        <item x="110"/>
        <item x="153"/>
        <item x="348"/>
        <item x="365"/>
        <item x="87"/>
        <item x="334"/>
        <item x="294"/>
        <item x="280"/>
        <item x="377"/>
        <item x="404"/>
        <item x="27"/>
        <item x="22"/>
        <item x="125"/>
        <item x="420"/>
        <item x="384"/>
        <item x="395"/>
        <item x="298"/>
        <item x="62"/>
        <item x="35"/>
        <item x="107"/>
        <item x="448"/>
        <item x="305"/>
        <item x="372"/>
        <item x="369"/>
        <item x="478"/>
        <item x="482"/>
        <item x="378"/>
        <item x="192"/>
        <item x="441"/>
        <item x="343"/>
        <item x="443"/>
        <item x="179"/>
        <item x="31"/>
        <item x="104"/>
        <item x="47"/>
        <item x="69"/>
        <item x="433"/>
        <item x="266"/>
        <item x="165"/>
        <item x="423"/>
        <item x="299"/>
        <item x="197"/>
        <item x="391"/>
        <item x="187"/>
        <item x="127"/>
        <item x="39"/>
        <item x="276"/>
        <item x="42"/>
        <item x="137"/>
        <item x="412"/>
        <item x="270"/>
        <item x="0"/>
        <item x="415"/>
        <item x="90"/>
        <item x="258"/>
        <item x="488"/>
        <item x="118"/>
        <item x="302"/>
        <item x="265"/>
        <item x="93"/>
        <item x="2"/>
        <item x="38"/>
        <item x="221"/>
        <item x="115"/>
        <item x="9"/>
        <item x="360"/>
        <item x="236"/>
        <item x="241"/>
        <item x="147"/>
        <item x="499"/>
        <item x="229"/>
        <item x="483"/>
        <item x="303"/>
        <item x="309"/>
        <item x="61"/>
        <item x="167"/>
        <item x="247"/>
        <item x="189"/>
        <item x="286"/>
        <item x="190"/>
        <item x="329"/>
        <item x="128"/>
        <item x="497"/>
        <item x="491"/>
        <item x="477"/>
        <item x="199"/>
        <item x="318"/>
        <item x="376"/>
        <item x="353"/>
        <item x="424"/>
        <item x="317"/>
        <item x="139"/>
        <item x="451"/>
        <item x="466"/>
        <item x="381"/>
        <item x="214"/>
        <item x="500"/>
        <item x="429"/>
        <item x="402"/>
        <item x="325"/>
        <item x="146"/>
        <item x="385"/>
        <item x="341"/>
        <item x="331"/>
        <item x="249"/>
        <item x="401"/>
        <item x="73"/>
        <item x="239"/>
        <item x="388"/>
        <item x="436"/>
        <item x="485"/>
        <item x="442"/>
        <item x="419"/>
        <item x="296"/>
        <item x="194"/>
        <item x="101"/>
        <item x="80"/>
        <item x="375"/>
        <item x="63"/>
        <item x="6"/>
        <item x="242"/>
        <item x="121"/>
        <item x="400"/>
        <item x="51"/>
        <item x="140"/>
        <item x="248"/>
        <item x="410"/>
        <item x="212"/>
        <item x="481"/>
        <item x="32"/>
        <item x="97"/>
        <item x="178"/>
        <item x="222"/>
        <item x="304"/>
        <item x="113"/>
        <item x="407"/>
        <item x="160"/>
        <item x="66"/>
        <item x="238"/>
        <item x="278"/>
        <item x="184"/>
        <item x="379"/>
        <item x="133"/>
        <item x="264"/>
        <item x="328"/>
        <item x="50"/>
        <item x="480"/>
        <item x="290"/>
        <item x="431"/>
        <item x="459"/>
        <item x="204"/>
        <item x="504"/>
        <item x="486"/>
        <item x="332"/>
        <item x="444"/>
        <item x="472"/>
        <item x="502"/>
        <item x="145"/>
        <item x="337"/>
        <item x="108"/>
        <item x="398"/>
        <item x="311"/>
        <item x="406"/>
        <item x="19"/>
        <item x="26"/>
        <item x="301"/>
        <item x="439"/>
        <item x="217"/>
        <item x="29"/>
        <item x="321"/>
        <item x="124"/>
        <item x="287"/>
        <item x="324"/>
        <item x="65"/>
        <item x="284"/>
        <item x="484"/>
        <item x="52"/>
        <item x="46"/>
        <item x="74"/>
        <item x="275"/>
        <item x="232"/>
        <item x="350"/>
        <item x="183"/>
        <item x="250"/>
        <item x="57"/>
        <item x="193"/>
        <item x="117"/>
        <item x="380"/>
        <item x="273"/>
        <item x="355"/>
        <item x="399"/>
        <item x="228"/>
        <item x="432"/>
        <item x="134"/>
        <item x="394"/>
        <item x="457"/>
        <item x="279"/>
        <item x="215"/>
        <item x="473"/>
        <item x="116"/>
        <item x="426"/>
        <item x="15"/>
        <item x="148"/>
        <item x="142"/>
        <item x="293"/>
        <item x="75"/>
        <item x="461"/>
        <item x="501"/>
        <item x="235"/>
        <item x="269"/>
        <item x="149"/>
        <item x="467"/>
        <item x="445"/>
        <item x="414"/>
        <item x="489"/>
        <item x="345"/>
        <item x="131"/>
        <item x="382"/>
        <item x="64"/>
        <item x="86"/>
        <item x="122"/>
        <item x="95"/>
        <item x="463"/>
        <item x="252"/>
        <item x="157"/>
        <item x="13"/>
        <item x="208"/>
        <item x="453"/>
        <item x="320"/>
        <item x="233"/>
        <item x="319"/>
        <item x="336"/>
        <item x="186"/>
        <item x="83"/>
        <item x="288"/>
        <item x="330"/>
        <item x="154"/>
        <item x="11"/>
        <item x="72"/>
        <item x="205"/>
        <item x="48"/>
        <item x="254"/>
        <item x="416"/>
        <item x="132"/>
        <item x="465"/>
        <item x="316"/>
        <item x="8"/>
        <item x="361"/>
        <item x="37"/>
        <item x="244"/>
        <item x="226"/>
        <item x="45"/>
        <item x="111"/>
        <item x="272"/>
        <item x="260"/>
        <item x="310"/>
        <item x="152"/>
        <item x="492"/>
        <item x="24"/>
        <item x="243"/>
        <item x="180"/>
        <item x="255"/>
        <item x="292"/>
        <item x="366"/>
        <item x="409"/>
        <item x="59"/>
        <item x="449"/>
        <item x="438"/>
        <item x="455"/>
        <item x="344"/>
        <item x="297"/>
        <item x="84"/>
        <item x="493"/>
        <item x="326"/>
        <item x="422"/>
        <item x="18"/>
        <item x="240"/>
        <item x="454"/>
        <item x="172"/>
        <item x="358"/>
        <item x="347"/>
        <item x="191"/>
        <item x="10"/>
        <item x="182"/>
        <item x="203"/>
        <item x="397"/>
        <item x="230"/>
        <item x="92"/>
        <item x="470"/>
        <item x="70"/>
        <item x="503"/>
        <item x="96"/>
        <item x="339"/>
        <item x="71"/>
        <item x="282"/>
        <item x="136"/>
        <item x="202"/>
        <item x="185"/>
        <item x="5"/>
        <item x="201"/>
        <item x="333"/>
        <item x="476"/>
        <item x="120"/>
        <item x="78"/>
        <item x="462"/>
        <item x="464"/>
        <item x="211"/>
        <item x="362"/>
        <item x="114"/>
        <item x="40"/>
        <item x="271"/>
        <item x="68"/>
        <item x="370"/>
        <item x="387"/>
        <item x="313"/>
        <item x="76"/>
        <item x="427"/>
        <item x="262"/>
        <item x="188"/>
        <item x="163"/>
        <item x="54"/>
        <item x="283"/>
        <item x="256"/>
        <item x="216"/>
        <item x="312"/>
        <item x="168"/>
        <item x="268"/>
        <item x="386"/>
        <item x="505"/>
        <item x="195"/>
        <item x="36"/>
        <item x="156"/>
        <item x="151"/>
        <item x="141"/>
        <item x="25"/>
        <item x="14"/>
        <item x="223"/>
        <item x="225"/>
        <item x="126"/>
        <item x="206"/>
        <item x="198"/>
        <item x="418"/>
        <item x="171"/>
        <item x="475"/>
        <item x="295"/>
        <item x="323"/>
        <item x="314"/>
        <item x="371"/>
        <item x="30"/>
        <item x="138"/>
        <item x="357"/>
        <item x="144"/>
        <item x="213"/>
        <item x="143"/>
        <item x="425"/>
        <item x="162"/>
        <item x="44"/>
        <item x="28"/>
        <item x="349"/>
        <item x="300"/>
        <item x="396"/>
        <item x="112"/>
        <item x="267"/>
        <item x="85"/>
        <item x="374"/>
        <item x="77"/>
        <item x="129"/>
        <item x="174"/>
        <item x="405"/>
        <item x="285"/>
        <item x="356"/>
        <item x="308"/>
        <item x="88"/>
        <item x="460"/>
        <item x="105"/>
        <item x="390"/>
        <item x="435"/>
        <item x="430"/>
        <item x="253"/>
        <item x="322"/>
        <item x="307"/>
        <item x="99"/>
        <item x="277"/>
        <item x="169"/>
        <item x="181"/>
        <item x="263"/>
        <item x="245"/>
        <item x="450"/>
        <item x="106"/>
        <item x="456"/>
        <item x="3"/>
        <item x="119"/>
        <item x="82"/>
        <item x="58"/>
        <item x="291"/>
        <item x="89"/>
        <item x="43"/>
        <item x="364"/>
        <item x="434"/>
        <item x="413"/>
        <item x="446"/>
        <item x="351"/>
        <item x="338"/>
        <item x="109"/>
        <item x="166"/>
        <item x="259"/>
        <item x="234"/>
        <item x="98"/>
        <item x="227"/>
        <item x="490"/>
        <item x="12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17" baseField="0" baseItem="0" numFmtId="171"/>
  </dataFields>
  <formats count="2">
    <format dxfId="11">
      <pivotArea outline="0" collapsedLevelsAreSubtotals="1" fieldPosition="0"/>
    </format>
    <format dxfId="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5C9E-2F69-F24E-8342-2FC91CD50792}">
  <dimension ref="A1:U1001"/>
  <sheetViews>
    <sheetView topLeftCell="J1" zoomScaleNormal="100" workbookViewId="0">
      <selection activeCell="R1" sqref="R1:R1048576"/>
    </sheetView>
  </sheetViews>
  <sheetFormatPr baseColWidth="10" defaultRowHeight="16" x14ac:dyDescent="0.2"/>
  <cols>
    <col min="1" max="1" width="18.5" customWidth="1"/>
    <col min="6" max="6" width="20.33203125" customWidth="1"/>
    <col min="7" max="7" width="17.83203125" customWidth="1"/>
    <col min="11" max="11" width="30.83203125" style="1" customWidth="1"/>
    <col min="12" max="12" width="14.33203125" style="4" customWidth="1"/>
    <col min="15" max="15" width="26" customWidth="1"/>
    <col min="16" max="16" width="16.5" customWidth="1"/>
    <col min="18" max="18" width="10.83203125" style="6" customWidth="1"/>
    <col min="19" max="19" width="13.1640625" customWidth="1"/>
    <col min="20" max="20" width="10.83203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6" t="s">
        <v>1036</v>
      </c>
      <c r="S1" t="s">
        <v>1037</v>
      </c>
      <c r="T1" t="s">
        <v>1038</v>
      </c>
      <c r="U1" t="s">
        <v>1039</v>
      </c>
    </row>
    <row r="2" spans="1:21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4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  <c r="R2" s="6">
        <f>H2*G2</f>
        <v>522.82999999999993</v>
      </c>
      <c r="S2" t="str">
        <f>TEXT(K2,"mmmm")</f>
        <v>May</v>
      </c>
      <c r="T2">
        <f>MONTH(K2)</f>
        <v>5</v>
      </c>
      <c r="U2" t="str">
        <f>TEXT(K2,"dddd")</f>
        <v>Wednesday</v>
      </c>
    </row>
    <row r="3" spans="1:21" x14ac:dyDescent="0.2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4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  <c r="R3" s="6">
        <f t="shared" ref="R3:R66" si="0">H3*G3</f>
        <v>76.399999999999991</v>
      </c>
      <c r="S3" t="str">
        <f t="shared" ref="S3:S66" si="1">TEXT(K3,"mmmm")</f>
        <v>August</v>
      </c>
      <c r="T3">
        <f t="shared" ref="T3:T66" si="2">MONTH(K3)</f>
        <v>8</v>
      </c>
      <c r="U3" t="str">
        <f t="shared" ref="U3:U66" si="3">TEXT(K3,"dddd")</f>
        <v>Saturday</v>
      </c>
    </row>
    <row r="4" spans="1:21" x14ac:dyDescent="0.2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4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  <c r="R4" s="6">
        <f t="shared" si="0"/>
        <v>324.31</v>
      </c>
      <c r="S4" t="str">
        <f t="shared" si="1"/>
        <v>March</v>
      </c>
      <c r="T4">
        <f t="shared" si="2"/>
        <v>3</v>
      </c>
      <c r="U4" t="str">
        <f t="shared" si="3"/>
        <v>Sunday</v>
      </c>
    </row>
    <row r="5" spans="1:21" x14ac:dyDescent="0.2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4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  <c r="R5" s="6">
        <f t="shared" si="0"/>
        <v>465.76</v>
      </c>
      <c r="S5" t="str">
        <f t="shared" si="1"/>
        <v>January</v>
      </c>
      <c r="T5">
        <f t="shared" si="2"/>
        <v>1</v>
      </c>
      <c r="U5" t="str">
        <f t="shared" si="3"/>
        <v>Sunday</v>
      </c>
    </row>
    <row r="6" spans="1:21" x14ac:dyDescent="0.2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4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  <c r="R6" s="6">
        <f t="shared" si="0"/>
        <v>604.17000000000007</v>
      </c>
      <c r="S6" t="str">
        <f t="shared" si="1"/>
        <v>August</v>
      </c>
      <c r="T6">
        <f t="shared" si="2"/>
        <v>8</v>
      </c>
      <c r="U6" t="str">
        <f t="shared" si="3"/>
        <v>Friday</v>
      </c>
    </row>
    <row r="7" spans="1:21" x14ac:dyDescent="0.2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4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  <c r="R7" s="6">
        <f t="shared" si="0"/>
        <v>597.73</v>
      </c>
      <c r="S7" t="str">
        <f t="shared" si="1"/>
        <v>March</v>
      </c>
      <c r="T7">
        <f t="shared" si="2"/>
        <v>3</v>
      </c>
      <c r="U7" t="str">
        <f t="shared" si="3"/>
        <v>Monday</v>
      </c>
    </row>
    <row r="8" spans="1:21" x14ac:dyDescent="0.2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4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  <c r="R8" s="6">
        <f t="shared" si="0"/>
        <v>413.04</v>
      </c>
      <c r="S8" t="str">
        <f t="shared" si="1"/>
        <v>February</v>
      </c>
      <c r="T8">
        <f t="shared" si="2"/>
        <v>2</v>
      </c>
      <c r="U8" t="str">
        <f t="shared" si="3"/>
        <v>Monday</v>
      </c>
    </row>
    <row r="9" spans="1:21" x14ac:dyDescent="0.2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4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  <c r="R9" s="6">
        <f t="shared" si="0"/>
        <v>735.6</v>
      </c>
      <c r="S9" t="str">
        <f t="shared" si="1"/>
        <v>February</v>
      </c>
      <c r="T9">
        <f t="shared" si="2"/>
        <v>2</v>
      </c>
      <c r="U9" t="str">
        <f t="shared" si="3"/>
        <v>Sunday</v>
      </c>
    </row>
    <row r="10" spans="1:21" x14ac:dyDescent="0.2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4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  <c r="R10" s="6">
        <f t="shared" si="0"/>
        <v>72.52</v>
      </c>
      <c r="S10" t="str">
        <f t="shared" si="1"/>
        <v>October</v>
      </c>
      <c r="T10">
        <f t="shared" si="2"/>
        <v>10</v>
      </c>
      <c r="U10" t="str">
        <f t="shared" si="3"/>
        <v>Tuesday</v>
      </c>
    </row>
    <row r="11" spans="1:21" x14ac:dyDescent="0.2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4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  <c r="R11" s="6">
        <f t="shared" si="0"/>
        <v>164.52</v>
      </c>
      <c r="S11" t="str">
        <f t="shared" si="1"/>
        <v>February</v>
      </c>
      <c r="T11">
        <f t="shared" si="2"/>
        <v>2</v>
      </c>
      <c r="U11" t="str">
        <f t="shared" si="3"/>
        <v>Wednesday</v>
      </c>
    </row>
    <row r="12" spans="1:21" x14ac:dyDescent="0.2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4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  <c r="R12" s="6">
        <f t="shared" si="0"/>
        <v>57.92</v>
      </c>
      <c r="S12" t="str">
        <f t="shared" si="1"/>
        <v>June</v>
      </c>
      <c r="T12">
        <f t="shared" si="2"/>
        <v>6</v>
      </c>
      <c r="U12" t="str">
        <f t="shared" si="3"/>
        <v>Sunday</v>
      </c>
    </row>
    <row r="13" spans="1:21" x14ac:dyDescent="0.2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4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  <c r="R13" s="6">
        <f t="shared" si="0"/>
        <v>102.04</v>
      </c>
      <c r="S13" t="str">
        <f t="shared" si="1"/>
        <v>September</v>
      </c>
      <c r="T13">
        <f t="shared" si="2"/>
        <v>9</v>
      </c>
      <c r="U13" t="str">
        <f t="shared" si="3"/>
        <v>Tuesday</v>
      </c>
    </row>
    <row r="14" spans="1:21" x14ac:dyDescent="0.2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4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R14" s="6">
        <f t="shared" si="0"/>
        <v>234.75</v>
      </c>
      <c r="S14" t="str">
        <f t="shared" si="1"/>
        <v>December</v>
      </c>
      <c r="T14">
        <f t="shared" si="2"/>
        <v>12</v>
      </c>
      <c r="U14" t="str">
        <f t="shared" si="3"/>
        <v>Monday</v>
      </c>
    </row>
    <row r="15" spans="1:21" x14ac:dyDescent="0.2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4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  <c r="R15" s="6">
        <f t="shared" si="0"/>
        <v>431.9</v>
      </c>
      <c r="S15" t="str">
        <f t="shared" si="1"/>
        <v>July</v>
      </c>
      <c r="T15">
        <f t="shared" si="2"/>
        <v>7</v>
      </c>
      <c r="U15" t="str">
        <f t="shared" si="3"/>
        <v>Tuesday</v>
      </c>
    </row>
    <row r="16" spans="1:21" x14ac:dyDescent="0.2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4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  <c r="R16" s="6">
        <f t="shared" si="0"/>
        <v>713.8</v>
      </c>
      <c r="S16" t="str">
        <f t="shared" si="1"/>
        <v>March</v>
      </c>
      <c r="T16">
        <f t="shared" si="2"/>
        <v>3</v>
      </c>
      <c r="U16" t="str">
        <f t="shared" si="3"/>
        <v>Friday</v>
      </c>
    </row>
    <row r="17" spans="1:21" x14ac:dyDescent="0.2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4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  <c r="R17" s="6">
        <f t="shared" si="0"/>
        <v>562.31999999999994</v>
      </c>
      <c r="S17" t="str">
        <f t="shared" si="1"/>
        <v>January</v>
      </c>
      <c r="T17">
        <f t="shared" si="2"/>
        <v>1</v>
      </c>
      <c r="U17" t="str">
        <f t="shared" si="3"/>
        <v>Tuesday</v>
      </c>
    </row>
    <row r="18" spans="1:21" x14ac:dyDescent="0.2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4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  <c r="R18" s="6">
        <f t="shared" si="0"/>
        <v>482.51000000000005</v>
      </c>
      <c r="S18" t="str">
        <f t="shared" si="1"/>
        <v>November</v>
      </c>
      <c r="T18">
        <f t="shared" si="2"/>
        <v>11</v>
      </c>
      <c r="U18" t="str">
        <f t="shared" si="3"/>
        <v>Sunday</v>
      </c>
    </row>
    <row r="19" spans="1:21" x14ac:dyDescent="0.2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4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  <c r="R19" s="6">
        <f t="shared" si="0"/>
        <v>435.65999999999997</v>
      </c>
      <c r="S19" t="str">
        <f t="shared" si="1"/>
        <v>January</v>
      </c>
      <c r="T19">
        <f t="shared" si="2"/>
        <v>1</v>
      </c>
      <c r="U19" t="str">
        <f t="shared" si="3"/>
        <v>Tuesday</v>
      </c>
    </row>
    <row r="20" spans="1:21" x14ac:dyDescent="0.2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4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  <c r="R20" s="6">
        <f t="shared" si="0"/>
        <v>164.01</v>
      </c>
      <c r="S20" t="str">
        <f t="shared" si="1"/>
        <v>January</v>
      </c>
      <c r="T20">
        <f t="shared" si="2"/>
        <v>1</v>
      </c>
      <c r="U20" t="str">
        <f t="shared" si="3"/>
        <v>Monday</v>
      </c>
    </row>
    <row r="21" spans="1:21" x14ac:dyDescent="0.2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4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  <c r="R21" s="6">
        <f t="shared" si="0"/>
        <v>80.599999999999994</v>
      </c>
      <c r="S21" t="str">
        <f t="shared" si="1"/>
        <v>November</v>
      </c>
      <c r="T21">
        <f t="shared" si="2"/>
        <v>11</v>
      </c>
      <c r="U21" t="str">
        <f t="shared" si="3"/>
        <v>Sunday</v>
      </c>
    </row>
    <row r="22" spans="1:21" x14ac:dyDescent="0.2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4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  <c r="R22" s="6">
        <f t="shared" si="0"/>
        <v>430.20000000000005</v>
      </c>
      <c r="S22" t="str">
        <f t="shared" si="1"/>
        <v>February</v>
      </c>
      <c r="T22">
        <f t="shared" si="2"/>
        <v>2</v>
      </c>
      <c r="U22" t="str">
        <f t="shared" si="3"/>
        <v>Monday</v>
      </c>
    </row>
    <row r="23" spans="1:21" x14ac:dyDescent="0.2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4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  <c r="R23" s="6">
        <f t="shared" si="0"/>
        <v>263.94</v>
      </c>
      <c r="S23" t="str">
        <f t="shared" si="1"/>
        <v>May</v>
      </c>
      <c r="T23">
        <f t="shared" si="2"/>
        <v>5</v>
      </c>
      <c r="U23" t="str">
        <f t="shared" si="3"/>
        <v>Friday</v>
      </c>
    </row>
    <row r="24" spans="1:21" x14ac:dyDescent="0.2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4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  <c r="R24" s="6">
        <f t="shared" si="0"/>
        <v>66.400000000000006</v>
      </c>
      <c r="S24" t="str">
        <f t="shared" si="1"/>
        <v>March</v>
      </c>
      <c r="T24">
        <f t="shared" si="2"/>
        <v>3</v>
      </c>
      <c r="U24" t="str">
        <f t="shared" si="3"/>
        <v>Friday</v>
      </c>
    </row>
    <row r="25" spans="1:21" x14ac:dyDescent="0.2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4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  <c r="R25" s="6">
        <f t="shared" si="0"/>
        <v>172.8</v>
      </c>
      <c r="S25" t="str">
        <f t="shared" si="1"/>
        <v>February</v>
      </c>
      <c r="T25">
        <f t="shared" si="2"/>
        <v>2</v>
      </c>
      <c r="U25" t="str">
        <f t="shared" si="3"/>
        <v>Sunday</v>
      </c>
    </row>
    <row r="26" spans="1:21" x14ac:dyDescent="0.2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4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  <c r="R26" s="6">
        <f t="shared" si="0"/>
        <v>265.89</v>
      </c>
      <c r="S26" t="str">
        <f t="shared" si="1"/>
        <v>February</v>
      </c>
      <c r="T26">
        <f t="shared" si="2"/>
        <v>2</v>
      </c>
      <c r="U26" t="str">
        <f t="shared" si="3"/>
        <v>Sunday</v>
      </c>
    </row>
    <row r="27" spans="1:21" x14ac:dyDescent="0.2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4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  <c r="R27" s="6">
        <f t="shared" si="0"/>
        <v>420.72</v>
      </c>
      <c r="S27" t="str">
        <f t="shared" si="1"/>
        <v>March</v>
      </c>
      <c r="T27">
        <f t="shared" si="2"/>
        <v>3</v>
      </c>
      <c r="U27" t="str">
        <f t="shared" si="3"/>
        <v>Friday</v>
      </c>
    </row>
    <row r="28" spans="1:21" x14ac:dyDescent="0.2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4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  <c r="R28" s="6">
        <f t="shared" si="0"/>
        <v>33.520000000000003</v>
      </c>
      <c r="S28" t="str">
        <f t="shared" si="1"/>
        <v>August</v>
      </c>
      <c r="T28">
        <f t="shared" si="2"/>
        <v>8</v>
      </c>
      <c r="U28" t="str">
        <f t="shared" si="3"/>
        <v>Friday</v>
      </c>
    </row>
    <row r="29" spans="1:21" x14ac:dyDescent="0.2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4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  <c r="R29" s="6">
        <f t="shared" si="0"/>
        <v>175.34</v>
      </c>
      <c r="S29" t="str">
        <f t="shared" si="1"/>
        <v>October</v>
      </c>
      <c r="T29">
        <f t="shared" si="2"/>
        <v>10</v>
      </c>
      <c r="U29" t="str">
        <f t="shared" si="3"/>
        <v>Thursday</v>
      </c>
    </row>
    <row r="30" spans="1:21" x14ac:dyDescent="0.2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4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  <c r="R30" s="6">
        <f t="shared" si="0"/>
        <v>441.8</v>
      </c>
      <c r="S30" t="str">
        <f t="shared" si="1"/>
        <v>January</v>
      </c>
      <c r="T30">
        <f t="shared" si="2"/>
        <v>1</v>
      </c>
      <c r="U30" t="str">
        <f t="shared" si="3"/>
        <v>Friday</v>
      </c>
    </row>
    <row r="31" spans="1:21" x14ac:dyDescent="0.2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4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  <c r="R31" s="6">
        <f t="shared" si="0"/>
        <v>224.01</v>
      </c>
      <c r="S31" t="str">
        <f t="shared" si="1"/>
        <v>March</v>
      </c>
      <c r="T31">
        <f t="shared" si="2"/>
        <v>3</v>
      </c>
      <c r="U31" t="str">
        <f t="shared" si="3"/>
        <v>Friday</v>
      </c>
    </row>
    <row r="32" spans="1:21" x14ac:dyDescent="0.2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4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  <c r="R32" s="6">
        <f t="shared" si="0"/>
        <v>470.65</v>
      </c>
      <c r="S32" t="str">
        <f t="shared" si="1"/>
        <v>February</v>
      </c>
      <c r="T32">
        <f t="shared" si="2"/>
        <v>2</v>
      </c>
      <c r="U32" t="str">
        <f t="shared" si="3"/>
        <v>Monday</v>
      </c>
    </row>
    <row r="33" spans="1:21" x14ac:dyDescent="0.2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4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  <c r="R33" s="6">
        <f t="shared" si="0"/>
        <v>702.62999999999988</v>
      </c>
      <c r="S33" t="str">
        <f t="shared" si="1"/>
        <v>January</v>
      </c>
      <c r="T33">
        <f t="shared" si="2"/>
        <v>1</v>
      </c>
      <c r="U33" t="str">
        <f t="shared" si="3"/>
        <v>Monday</v>
      </c>
    </row>
    <row r="34" spans="1:21" x14ac:dyDescent="0.2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4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  <c r="R34" s="6">
        <f t="shared" si="0"/>
        <v>670.24</v>
      </c>
      <c r="S34" t="str">
        <f t="shared" si="1"/>
        <v>October</v>
      </c>
      <c r="T34">
        <f t="shared" si="2"/>
        <v>10</v>
      </c>
      <c r="U34" t="str">
        <f t="shared" si="3"/>
        <v>Tuesday</v>
      </c>
    </row>
    <row r="35" spans="1:21" x14ac:dyDescent="0.2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4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  <c r="R35" s="6">
        <f t="shared" si="0"/>
        <v>193.16</v>
      </c>
      <c r="S35" t="str">
        <f t="shared" si="1"/>
        <v>March</v>
      </c>
      <c r="T35">
        <f t="shared" si="2"/>
        <v>3</v>
      </c>
      <c r="U35" t="str">
        <f t="shared" si="3"/>
        <v>Friday</v>
      </c>
    </row>
    <row r="36" spans="1:21" x14ac:dyDescent="0.2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4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  <c r="R36" s="6">
        <f t="shared" si="0"/>
        <v>397.68</v>
      </c>
      <c r="S36" t="str">
        <f t="shared" si="1"/>
        <v>June</v>
      </c>
      <c r="T36">
        <f t="shared" si="2"/>
        <v>6</v>
      </c>
      <c r="U36" t="str">
        <f t="shared" si="3"/>
        <v>Sunday</v>
      </c>
    </row>
    <row r="37" spans="1:21" x14ac:dyDescent="0.2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4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  <c r="R37" s="6">
        <f t="shared" si="0"/>
        <v>68.12</v>
      </c>
      <c r="S37" t="str">
        <f t="shared" si="1"/>
        <v>July</v>
      </c>
      <c r="T37">
        <f t="shared" si="2"/>
        <v>7</v>
      </c>
      <c r="U37" t="str">
        <f t="shared" si="3"/>
        <v>Monday</v>
      </c>
    </row>
    <row r="38" spans="1:21" x14ac:dyDescent="0.2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4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  <c r="R38" s="6">
        <f t="shared" si="0"/>
        <v>313.09999999999997</v>
      </c>
      <c r="S38" t="str">
        <f t="shared" si="1"/>
        <v>October</v>
      </c>
      <c r="T38">
        <f t="shared" si="2"/>
        <v>10</v>
      </c>
      <c r="U38" t="str">
        <f t="shared" si="3"/>
        <v>Thursday</v>
      </c>
    </row>
    <row r="39" spans="1:21" x14ac:dyDescent="0.2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4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  <c r="R39" s="6">
        <f t="shared" si="0"/>
        <v>547.92000000000007</v>
      </c>
      <c r="S39" t="str">
        <f t="shared" si="1"/>
        <v>January</v>
      </c>
      <c r="T39">
        <f t="shared" si="2"/>
        <v>1</v>
      </c>
      <c r="U39" t="str">
        <f t="shared" si="3"/>
        <v>Tuesday</v>
      </c>
    </row>
    <row r="40" spans="1:21" x14ac:dyDescent="0.2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4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  <c r="R40" s="6">
        <f t="shared" si="0"/>
        <v>439.36</v>
      </c>
      <c r="S40" t="str">
        <f t="shared" si="1"/>
        <v>March</v>
      </c>
      <c r="T40">
        <f t="shared" si="2"/>
        <v>3</v>
      </c>
      <c r="U40" t="str">
        <f t="shared" si="3"/>
        <v>Saturday</v>
      </c>
    </row>
    <row r="41" spans="1:21" x14ac:dyDescent="0.2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4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  <c r="R41" s="6">
        <f t="shared" si="0"/>
        <v>240.96</v>
      </c>
      <c r="S41" t="str">
        <f t="shared" si="1"/>
        <v>March</v>
      </c>
      <c r="T41">
        <f t="shared" si="2"/>
        <v>3</v>
      </c>
      <c r="U41" t="str">
        <f t="shared" si="3"/>
        <v>Sunday</v>
      </c>
    </row>
    <row r="42" spans="1:21" x14ac:dyDescent="0.2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4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  <c r="R42" s="6">
        <f t="shared" si="0"/>
        <v>86.72</v>
      </c>
      <c r="S42" t="str">
        <f t="shared" si="1"/>
        <v>January</v>
      </c>
      <c r="T42">
        <f t="shared" si="2"/>
        <v>1</v>
      </c>
      <c r="U42" t="str">
        <f t="shared" si="3"/>
        <v>Thursday</v>
      </c>
    </row>
    <row r="43" spans="1:21" x14ac:dyDescent="0.2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4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  <c r="R43" s="6">
        <f t="shared" si="0"/>
        <v>112.22</v>
      </c>
      <c r="S43" t="str">
        <f t="shared" si="1"/>
        <v>February</v>
      </c>
      <c r="T43">
        <f t="shared" si="2"/>
        <v>2</v>
      </c>
      <c r="U43" t="str">
        <f t="shared" si="3"/>
        <v>Saturday</v>
      </c>
    </row>
    <row r="44" spans="1:21" x14ac:dyDescent="0.2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4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  <c r="R44" s="6">
        <f t="shared" si="0"/>
        <v>414.72</v>
      </c>
      <c r="S44" t="str">
        <f t="shared" si="1"/>
        <v>August</v>
      </c>
      <c r="T44">
        <f t="shared" si="2"/>
        <v>8</v>
      </c>
      <c r="U44" t="str">
        <f t="shared" si="3"/>
        <v>Friday</v>
      </c>
    </row>
    <row r="45" spans="1:21" x14ac:dyDescent="0.2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4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  <c r="R45" s="6">
        <f t="shared" si="0"/>
        <v>789.6</v>
      </c>
      <c r="S45" t="str">
        <f t="shared" si="1"/>
        <v>April</v>
      </c>
      <c r="T45">
        <f t="shared" si="2"/>
        <v>4</v>
      </c>
      <c r="U45" t="str">
        <f t="shared" si="3"/>
        <v>Wednesday</v>
      </c>
    </row>
    <row r="46" spans="1:21" x14ac:dyDescent="0.2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4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  <c r="R46" s="6">
        <f t="shared" si="0"/>
        <v>30.74</v>
      </c>
      <c r="S46" t="str">
        <f t="shared" si="1"/>
        <v>March</v>
      </c>
      <c r="T46">
        <f t="shared" si="2"/>
        <v>3</v>
      </c>
      <c r="U46" t="str">
        <f t="shared" si="3"/>
        <v>Saturday</v>
      </c>
    </row>
    <row r="47" spans="1:21" x14ac:dyDescent="0.2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4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  <c r="R47" s="6">
        <f t="shared" si="0"/>
        <v>375.84</v>
      </c>
      <c r="S47" t="str">
        <f t="shared" si="1"/>
        <v>September</v>
      </c>
      <c r="T47">
        <f t="shared" si="2"/>
        <v>9</v>
      </c>
      <c r="U47" t="str">
        <f t="shared" si="3"/>
        <v>Tuesday</v>
      </c>
    </row>
    <row r="48" spans="1:21" x14ac:dyDescent="0.2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4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  <c r="R48" s="6">
        <f t="shared" si="0"/>
        <v>510.21</v>
      </c>
      <c r="S48" t="str">
        <f t="shared" si="1"/>
        <v>February</v>
      </c>
      <c r="T48">
        <f t="shared" si="2"/>
        <v>2</v>
      </c>
      <c r="U48" t="str">
        <f t="shared" si="3"/>
        <v>Wednesday</v>
      </c>
    </row>
    <row r="49" spans="1:21" x14ac:dyDescent="0.2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4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  <c r="R49" s="6">
        <f t="shared" si="0"/>
        <v>180.09</v>
      </c>
      <c r="S49" t="str">
        <f t="shared" si="1"/>
        <v>June</v>
      </c>
      <c r="T49">
        <f t="shared" si="2"/>
        <v>6</v>
      </c>
      <c r="U49" t="str">
        <f t="shared" si="3"/>
        <v>Sunday</v>
      </c>
    </row>
    <row r="50" spans="1:21" x14ac:dyDescent="0.2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4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  <c r="R50" s="6">
        <f t="shared" si="0"/>
        <v>113.58</v>
      </c>
      <c r="S50" t="str">
        <f t="shared" si="1"/>
        <v>October</v>
      </c>
      <c r="T50">
        <f t="shared" si="2"/>
        <v>10</v>
      </c>
      <c r="U50" t="str">
        <f t="shared" si="3"/>
        <v>Wednesday</v>
      </c>
    </row>
    <row r="51" spans="1:21" x14ac:dyDescent="0.2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4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  <c r="R51" s="6">
        <f t="shared" si="0"/>
        <v>826.3</v>
      </c>
      <c r="S51" t="str">
        <f t="shared" si="1"/>
        <v>March</v>
      </c>
      <c r="T51">
        <f t="shared" si="2"/>
        <v>3</v>
      </c>
      <c r="U51" t="str">
        <f t="shared" si="3"/>
        <v>Tuesday</v>
      </c>
    </row>
    <row r="52" spans="1:21" x14ac:dyDescent="0.2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4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  <c r="R52" s="6">
        <f t="shared" si="0"/>
        <v>639.80000000000007</v>
      </c>
      <c r="S52" t="str">
        <f t="shared" si="1"/>
        <v>March</v>
      </c>
      <c r="T52">
        <f t="shared" si="2"/>
        <v>3</v>
      </c>
      <c r="U52" t="str">
        <f t="shared" si="3"/>
        <v>Saturday</v>
      </c>
    </row>
    <row r="53" spans="1:21" x14ac:dyDescent="0.2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4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  <c r="R53" s="6">
        <f t="shared" si="0"/>
        <v>222.95000000000002</v>
      </c>
      <c r="S53" t="str">
        <f t="shared" si="1"/>
        <v>October</v>
      </c>
      <c r="T53">
        <f t="shared" si="2"/>
        <v>10</v>
      </c>
      <c r="U53" t="str">
        <f t="shared" si="3"/>
        <v>Wednesday</v>
      </c>
    </row>
    <row r="54" spans="1:21" x14ac:dyDescent="0.2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4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  <c r="R54" s="6">
        <f t="shared" si="0"/>
        <v>71.48</v>
      </c>
      <c r="S54" t="str">
        <f t="shared" si="1"/>
        <v>March</v>
      </c>
      <c r="T54">
        <f t="shared" si="2"/>
        <v>3</v>
      </c>
      <c r="U54" t="str">
        <f t="shared" si="3"/>
        <v>Friday</v>
      </c>
    </row>
    <row r="55" spans="1:21" x14ac:dyDescent="0.2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4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  <c r="R55" s="6">
        <f t="shared" si="0"/>
        <v>15.43</v>
      </c>
      <c r="S55" t="str">
        <f t="shared" si="1"/>
        <v>January</v>
      </c>
      <c r="T55">
        <f t="shared" si="2"/>
        <v>1</v>
      </c>
      <c r="U55" t="str">
        <f t="shared" si="3"/>
        <v>Friday</v>
      </c>
    </row>
    <row r="56" spans="1:21" x14ac:dyDescent="0.2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4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  <c r="R56" s="6">
        <f t="shared" si="0"/>
        <v>32.32</v>
      </c>
      <c r="S56" t="str">
        <f t="shared" si="1"/>
        <v>July</v>
      </c>
      <c r="T56">
        <f t="shared" si="2"/>
        <v>7</v>
      </c>
      <c r="U56" t="str">
        <f t="shared" si="3"/>
        <v>Wednesday</v>
      </c>
    </row>
    <row r="57" spans="1:21" x14ac:dyDescent="0.2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4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  <c r="R57" s="6">
        <f t="shared" si="0"/>
        <v>687.84</v>
      </c>
      <c r="S57" t="str">
        <f t="shared" si="1"/>
        <v>February</v>
      </c>
      <c r="T57">
        <f t="shared" si="2"/>
        <v>2</v>
      </c>
      <c r="U57" t="str">
        <f t="shared" si="3"/>
        <v>Thursday</v>
      </c>
    </row>
    <row r="58" spans="1:21" x14ac:dyDescent="0.2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4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  <c r="R58" s="6">
        <f t="shared" si="0"/>
        <v>88.68</v>
      </c>
      <c r="S58" t="str">
        <f t="shared" si="1"/>
        <v>March</v>
      </c>
      <c r="T58">
        <f t="shared" si="2"/>
        <v>3</v>
      </c>
      <c r="U58" t="str">
        <f t="shared" si="3"/>
        <v>Wednesday</v>
      </c>
    </row>
    <row r="59" spans="1:21" x14ac:dyDescent="0.2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4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  <c r="R59" s="6">
        <f t="shared" si="0"/>
        <v>716.8</v>
      </c>
      <c r="S59" t="str">
        <f t="shared" si="1"/>
        <v>July</v>
      </c>
      <c r="T59">
        <f t="shared" si="2"/>
        <v>7</v>
      </c>
      <c r="U59" t="str">
        <f t="shared" si="3"/>
        <v>Tuesday</v>
      </c>
    </row>
    <row r="60" spans="1:21" x14ac:dyDescent="0.2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4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  <c r="R60" s="6">
        <f t="shared" si="0"/>
        <v>723.5</v>
      </c>
      <c r="S60" t="str">
        <f t="shared" si="1"/>
        <v>January</v>
      </c>
      <c r="T60">
        <f t="shared" si="2"/>
        <v>1</v>
      </c>
      <c r="U60" t="str">
        <f t="shared" si="3"/>
        <v>Sunday</v>
      </c>
    </row>
    <row r="61" spans="1:21" x14ac:dyDescent="0.2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4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  <c r="R61" s="6">
        <f t="shared" si="0"/>
        <v>183.66</v>
      </c>
      <c r="S61" t="str">
        <f t="shared" si="1"/>
        <v>December</v>
      </c>
      <c r="T61">
        <f t="shared" si="2"/>
        <v>12</v>
      </c>
      <c r="U61" t="str">
        <f t="shared" si="3"/>
        <v>Tuesday</v>
      </c>
    </row>
    <row r="62" spans="1:21" x14ac:dyDescent="0.2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4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  <c r="R62" s="6">
        <f t="shared" si="0"/>
        <v>74.22</v>
      </c>
      <c r="S62" t="str">
        <f t="shared" si="1"/>
        <v>February</v>
      </c>
      <c r="T62">
        <f t="shared" si="2"/>
        <v>2</v>
      </c>
      <c r="U62" t="str">
        <f t="shared" si="3"/>
        <v>Friday</v>
      </c>
    </row>
    <row r="63" spans="1:21" x14ac:dyDescent="0.2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4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  <c r="R63" s="6">
        <f t="shared" si="0"/>
        <v>334.38</v>
      </c>
      <c r="S63" t="str">
        <f t="shared" si="1"/>
        <v>February</v>
      </c>
      <c r="T63">
        <f t="shared" si="2"/>
        <v>2</v>
      </c>
      <c r="U63" t="str">
        <f t="shared" si="3"/>
        <v>Sunday</v>
      </c>
    </row>
    <row r="64" spans="1:21" x14ac:dyDescent="0.2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4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  <c r="R64" s="6">
        <f t="shared" si="0"/>
        <v>495.63</v>
      </c>
      <c r="S64" t="str">
        <f t="shared" si="1"/>
        <v>March</v>
      </c>
      <c r="T64">
        <f t="shared" si="2"/>
        <v>3</v>
      </c>
      <c r="U64" t="str">
        <f t="shared" si="3"/>
        <v>Saturday</v>
      </c>
    </row>
    <row r="65" spans="1:21" x14ac:dyDescent="0.2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4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  <c r="R65" s="6">
        <f t="shared" si="0"/>
        <v>158.1</v>
      </c>
      <c r="S65" t="str">
        <f t="shared" si="1"/>
        <v>June</v>
      </c>
      <c r="T65">
        <f t="shared" si="2"/>
        <v>6</v>
      </c>
      <c r="U65" t="str">
        <f t="shared" si="3"/>
        <v>Monday</v>
      </c>
    </row>
    <row r="66" spans="1:21" x14ac:dyDescent="0.2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4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  <c r="R66" s="6">
        <f t="shared" si="0"/>
        <v>302.95999999999998</v>
      </c>
      <c r="S66" t="str">
        <f t="shared" si="1"/>
        <v>February</v>
      </c>
      <c r="T66">
        <f t="shared" si="2"/>
        <v>2</v>
      </c>
      <c r="U66" t="str">
        <f t="shared" si="3"/>
        <v>Thursday</v>
      </c>
    </row>
    <row r="67" spans="1:21" x14ac:dyDescent="0.2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4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  <c r="R67" s="6">
        <f t="shared" ref="R67:R130" si="4">H67*G67</f>
        <v>158.69999999999999</v>
      </c>
      <c r="S67" t="str">
        <f t="shared" ref="S67:S130" si="5">TEXT(K67,"mmmm")</f>
        <v>March</v>
      </c>
      <c r="T67">
        <f t="shared" ref="T67:T130" si="6">MONTH(K67)</f>
        <v>3</v>
      </c>
      <c r="U67" t="str">
        <f t="shared" ref="U67:U130" si="7">TEXT(K67,"dddd")</f>
        <v>Wednesday</v>
      </c>
    </row>
    <row r="68" spans="1:21" x14ac:dyDescent="0.2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4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  <c r="R68" s="6">
        <f t="shared" si="4"/>
        <v>66.94</v>
      </c>
      <c r="S68" t="str">
        <f t="shared" si="5"/>
        <v>October</v>
      </c>
      <c r="T68">
        <f t="shared" si="6"/>
        <v>10</v>
      </c>
      <c r="U68" t="str">
        <f t="shared" si="7"/>
        <v>Wednesday</v>
      </c>
    </row>
    <row r="69" spans="1:21" x14ac:dyDescent="0.2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4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  <c r="R69" s="6">
        <f t="shared" si="4"/>
        <v>585.66</v>
      </c>
      <c r="S69" t="str">
        <f t="shared" si="5"/>
        <v>July</v>
      </c>
      <c r="T69">
        <f t="shared" si="6"/>
        <v>7</v>
      </c>
      <c r="U69" t="str">
        <f t="shared" si="7"/>
        <v>Monday</v>
      </c>
    </row>
    <row r="70" spans="1:21" x14ac:dyDescent="0.2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4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  <c r="R70" s="6">
        <f t="shared" si="4"/>
        <v>787.69999999999993</v>
      </c>
      <c r="S70" t="str">
        <f t="shared" si="5"/>
        <v>January</v>
      </c>
      <c r="T70">
        <f t="shared" si="6"/>
        <v>1</v>
      </c>
      <c r="U70" t="str">
        <f t="shared" si="7"/>
        <v>Thursday</v>
      </c>
    </row>
    <row r="71" spans="1:21" x14ac:dyDescent="0.2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4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  <c r="R71" s="6">
        <f t="shared" si="4"/>
        <v>18.329999999999998</v>
      </c>
      <c r="S71" t="str">
        <f t="shared" si="5"/>
        <v>February</v>
      </c>
      <c r="T71">
        <f t="shared" si="6"/>
        <v>2</v>
      </c>
      <c r="U71" t="str">
        <f t="shared" si="7"/>
        <v>Saturday</v>
      </c>
    </row>
    <row r="72" spans="1:21" x14ac:dyDescent="0.2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4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  <c r="R72" s="6">
        <f t="shared" si="4"/>
        <v>894.80000000000007</v>
      </c>
      <c r="S72" t="str">
        <f t="shared" si="5"/>
        <v>June</v>
      </c>
      <c r="T72">
        <f t="shared" si="6"/>
        <v>6</v>
      </c>
      <c r="U72" t="str">
        <f t="shared" si="7"/>
        <v>Saturday</v>
      </c>
    </row>
    <row r="73" spans="1:21" x14ac:dyDescent="0.2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4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  <c r="R73" s="6">
        <f t="shared" si="4"/>
        <v>621.19999999999993</v>
      </c>
      <c r="S73" t="str">
        <f t="shared" si="5"/>
        <v>November</v>
      </c>
      <c r="T73">
        <f t="shared" si="6"/>
        <v>11</v>
      </c>
      <c r="U73" t="str">
        <f t="shared" si="7"/>
        <v>Saturday</v>
      </c>
    </row>
    <row r="74" spans="1:21" x14ac:dyDescent="0.2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4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  <c r="R74" s="6">
        <f t="shared" si="4"/>
        <v>145.56</v>
      </c>
      <c r="S74" t="str">
        <f t="shared" si="5"/>
        <v>May</v>
      </c>
      <c r="T74">
        <f t="shared" si="6"/>
        <v>5</v>
      </c>
      <c r="U74" t="str">
        <f t="shared" si="7"/>
        <v>Friday</v>
      </c>
    </row>
    <row r="75" spans="1:21" x14ac:dyDescent="0.2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4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  <c r="R75" s="6">
        <f t="shared" si="4"/>
        <v>455.46</v>
      </c>
      <c r="S75" t="str">
        <f t="shared" si="5"/>
        <v>September</v>
      </c>
      <c r="T75">
        <f t="shared" si="6"/>
        <v>9</v>
      </c>
      <c r="U75" t="str">
        <f t="shared" si="7"/>
        <v>Tuesday</v>
      </c>
    </row>
    <row r="76" spans="1:21" x14ac:dyDescent="0.2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4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  <c r="R76" s="6">
        <f t="shared" si="4"/>
        <v>672.03</v>
      </c>
      <c r="S76" t="str">
        <f t="shared" si="5"/>
        <v>January</v>
      </c>
      <c r="T76">
        <f t="shared" si="6"/>
        <v>1</v>
      </c>
      <c r="U76" t="str">
        <f t="shared" si="7"/>
        <v>Tuesday</v>
      </c>
    </row>
    <row r="77" spans="1:21" x14ac:dyDescent="0.2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4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  <c r="R77" s="6">
        <f t="shared" si="4"/>
        <v>416.5</v>
      </c>
      <c r="S77" t="str">
        <f t="shared" si="5"/>
        <v>January</v>
      </c>
      <c r="T77">
        <f t="shared" si="6"/>
        <v>1</v>
      </c>
      <c r="U77" t="str">
        <f t="shared" si="7"/>
        <v>Sunday</v>
      </c>
    </row>
    <row r="78" spans="1:21" x14ac:dyDescent="0.2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4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  <c r="R78" s="6">
        <f t="shared" si="4"/>
        <v>441.36</v>
      </c>
      <c r="S78" t="str">
        <f t="shared" si="5"/>
        <v>September</v>
      </c>
      <c r="T78">
        <f t="shared" si="6"/>
        <v>9</v>
      </c>
      <c r="U78" t="str">
        <f t="shared" si="7"/>
        <v>Sunday</v>
      </c>
    </row>
    <row r="79" spans="1:21" x14ac:dyDescent="0.2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4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  <c r="R79" s="6">
        <f t="shared" si="4"/>
        <v>180.09</v>
      </c>
      <c r="S79" t="str">
        <f t="shared" si="5"/>
        <v>December</v>
      </c>
      <c r="T79">
        <f t="shared" si="6"/>
        <v>12</v>
      </c>
      <c r="U79" t="str">
        <f t="shared" si="7"/>
        <v>Sunday</v>
      </c>
    </row>
    <row r="80" spans="1:21" x14ac:dyDescent="0.2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4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  <c r="R80" s="6">
        <f t="shared" si="4"/>
        <v>783.1</v>
      </c>
      <c r="S80" t="str">
        <f t="shared" si="5"/>
        <v>May</v>
      </c>
      <c r="T80">
        <f t="shared" si="6"/>
        <v>5</v>
      </c>
      <c r="U80" t="str">
        <f t="shared" si="7"/>
        <v>Friday</v>
      </c>
    </row>
    <row r="81" spans="1:21" x14ac:dyDescent="0.2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4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  <c r="R81" s="6">
        <f t="shared" si="4"/>
        <v>101.89999999999999</v>
      </c>
      <c r="S81" t="str">
        <f t="shared" si="5"/>
        <v>January</v>
      </c>
      <c r="T81">
        <f t="shared" si="6"/>
        <v>1</v>
      </c>
      <c r="U81" t="str">
        <f t="shared" si="7"/>
        <v>Tuesday</v>
      </c>
    </row>
    <row r="82" spans="1:21" x14ac:dyDescent="0.2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4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  <c r="R82" s="6">
        <f t="shared" si="4"/>
        <v>595.14</v>
      </c>
      <c r="S82" t="str">
        <f t="shared" si="5"/>
        <v>January</v>
      </c>
      <c r="T82">
        <f t="shared" si="6"/>
        <v>1</v>
      </c>
      <c r="U82" t="str">
        <f t="shared" si="7"/>
        <v>Monday</v>
      </c>
    </row>
    <row r="83" spans="1:21" x14ac:dyDescent="0.2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4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  <c r="R83" s="6">
        <f t="shared" si="4"/>
        <v>290.04000000000002</v>
      </c>
      <c r="S83" t="str">
        <f t="shared" si="5"/>
        <v>January</v>
      </c>
      <c r="T83">
        <f t="shared" si="6"/>
        <v>1</v>
      </c>
      <c r="U83" t="str">
        <f t="shared" si="7"/>
        <v>Saturday</v>
      </c>
    </row>
    <row r="84" spans="1:21" x14ac:dyDescent="0.2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4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  <c r="R84" s="6">
        <f t="shared" si="4"/>
        <v>154</v>
      </c>
      <c r="S84" t="str">
        <f t="shared" si="5"/>
        <v>January</v>
      </c>
      <c r="T84">
        <f t="shared" si="6"/>
        <v>1</v>
      </c>
      <c r="U84" t="str">
        <f t="shared" si="7"/>
        <v>Wednesday</v>
      </c>
    </row>
    <row r="85" spans="1:21" x14ac:dyDescent="0.2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4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  <c r="R85" s="6">
        <f t="shared" si="4"/>
        <v>321.44</v>
      </c>
      <c r="S85" t="str">
        <f t="shared" si="5"/>
        <v>February</v>
      </c>
      <c r="T85">
        <f t="shared" si="6"/>
        <v>2</v>
      </c>
      <c r="U85" t="str">
        <f t="shared" si="7"/>
        <v>Saturday</v>
      </c>
    </row>
    <row r="86" spans="1:21" x14ac:dyDescent="0.2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4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  <c r="R86" s="6">
        <f t="shared" si="4"/>
        <v>244.54999999999998</v>
      </c>
      <c r="S86" t="str">
        <f t="shared" si="5"/>
        <v>September</v>
      </c>
      <c r="T86">
        <f t="shared" si="6"/>
        <v>9</v>
      </c>
      <c r="U86" t="str">
        <f t="shared" si="7"/>
        <v>Tuesday</v>
      </c>
    </row>
    <row r="87" spans="1:21" x14ac:dyDescent="0.2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4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  <c r="R87" s="6">
        <f t="shared" si="4"/>
        <v>581.42000000000007</v>
      </c>
      <c r="S87" t="str">
        <f t="shared" si="5"/>
        <v>May</v>
      </c>
      <c r="T87">
        <f t="shared" si="6"/>
        <v>5</v>
      </c>
      <c r="U87" t="str">
        <f t="shared" si="7"/>
        <v>Friday</v>
      </c>
    </row>
    <row r="88" spans="1:21" x14ac:dyDescent="0.2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4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  <c r="R88" s="6">
        <f t="shared" si="4"/>
        <v>382.59999999999997</v>
      </c>
      <c r="S88" t="str">
        <f t="shared" si="5"/>
        <v>March</v>
      </c>
      <c r="T88">
        <f t="shared" si="6"/>
        <v>3</v>
      </c>
      <c r="U88" t="str">
        <f t="shared" si="7"/>
        <v>Monday</v>
      </c>
    </row>
    <row r="89" spans="1:21" x14ac:dyDescent="0.2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4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  <c r="R89" s="6">
        <f t="shared" si="4"/>
        <v>345.66</v>
      </c>
      <c r="S89" t="str">
        <f t="shared" si="5"/>
        <v>March</v>
      </c>
      <c r="T89">
        <f t="shared" si="6"/>
        <v>3</v>
      </c>
      <c r="U89" t="str">
        <f t="shared" si="7"/>
        <v>Wednesday</v>
      </c>
    </row>
    <row r="90" spans="1:21" x14ac:dyDescent="0.2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4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  <c r="R90" s="6">
        <f t="shared" si="4"/>
        <v>42.47</v>
      </c>
      <c r="S90" t="str">
        <f t="shared" si="5"/>
        <v>February</v>
      </c>
      <c r="T90">
        <f t="shared" si="6"/>
        <v>2</v>
      </c>
      <c r="U90" t="str">
        <f t="shared" si="7"/>
        <v>Friday</v>
      </c>
    </row>
    <row r="91" spans="1:21" x14ac:dyDescent="0.2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4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  <c r="R91" s="6">
        <f t="shared" si="4"/>
        <v>461.93999999999994</v>
      </c>
      <c r="S91" t="str">
        <f t="shared" si="5"/>
        <v>February</v>
      </c>
      <c r="T91">
        <f t="shared" si="6"/>
        <v>2</v>
      </c>
      <c r="U91" t="str">
        <f t="shared" si="7"/>
        <v>Wednesday</v>
      </c>
    </row>
    <row r="92" spans="1:21" x14ac:dyDescent="0.2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4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  <c r="R92" s="6">
        <f t="shared" si="4"/>
        <v>189.52</v>
      </c>
      <c r="S92" t="str">
        <f t="shared" si="5"/>
        <v>January</v>
      </c>
      <c r="T92">
        <f t="shared" si="6"/>
        <v>1</v>
      </c>
      <c r="U92" t="str">
        <f t="shared" si="7"/>
        <v>Wednesday</v>
      </c>
    </row>
    <row r="93" spans="1:21" x14ac:dyDescent="0.2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4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  <c r="R93" s="6">
        <f t="shared" si="4"/>
        <v>448.6</v>
      </c>
      <c r="S93" t="str">
        <f t="shared" si="5"/>
        <v>January</v>
      </c>
      <c r="T93">
        <f t="shared" si="6"/>
        <v>1</v>
      </c>
      <c r="U93" t="str">
        <f t="shared" si="7"/>
        <v>Saturday</v>
      </c>
    </row>
    <row r="94" spans="1:21" x14ac:dyDescent="0.2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4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  <c r="R94" s="6">
        <f t="shared" si="4"/>
        <v>153.86000000000001</v>
      </c>
      <c r="S94" t="str">
        <f t="shared" si="5"/>
        <v>October</v>
      </c>
      <c r="T94">
        <f t="shared" si="6"/>
        <v>10</v>
      </c>
      <c r="U94" t="str">
        <f t="shared" si="7"/>
        <v>Tuesday</v>
      </c>
    </row>
    <row r="95" spans="1:21" x14ac:dyDescent="0.2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4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  <c r="R95" s="6">
        <f t="shared" si="4"/>
        <v>579.24</v>
      </c>
      <c r="S95" t="str">
        <f t="shared" si="5"/>
        <v>December</v>
      </c>
      <c r="T95">
        <f t="shared" si="6"/>
        <v>12</v>
      </c>
      <c r="U95" t="str">
        <f t="shared" si="7"/>
        <v>Tuesday</v>
      </c>
    </row>
    <row r="96" spans="1:21" x14ac:dyDescent="0.2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4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  <c r="R96" s="6">
        <f t="shared" si="4"/>
        <v>89.75</v>
      </c>
      <c r="S96" t="str">
        <f t="shared" si="5"/>
        <v>June</v>
      </c>
      <c r="T96">
        <f t="shared" si="6"/>
        <v>6</v>
      </c>
      <c r="U96" t="str">
        <f t="shared" si="7"/>
        <v>Sunday</v>
      </c>
    </row>
    <row r="97" spans="1:21" x14ac:dyDescent="0.2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4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  <c r="R97" s="6">
        <f t="shared" si="4"/>
        <v>97.16</v>
      </c>
      <c r="S97" t="str">
        <f t="shared" si="5"/>
        <v>August</v>
      </c>
      <c r="T97">
        <f t="shared" si="6"/>
        <v>8</v>
      </c>
      <c r="U97" t="str">
        <f t="shared" si="7"/>
        <v>Saturday</v>
      </c>
    </row>
    <row r="98" spans="1:21" x14ac:dyDescent="0.2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4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  <c r="R98" s="6">
        <f t="shared" si="4"/>
        <v>878.7</v>
      </c>
      <c r="S98" t="str">
        <f t="shared" si="5"/>
        <v>March</v>
      </c>
      <c r="T98">
        <f t="shared" si="6"/>
        <v>3</v>
      </c>
      <c r="U98" t="str">
        <f t="shared" si="7"/>
        <v>Friday</v>
      </c>
    </row>
    <row r="99" spans="1:21" x14ac:dyDescent="0.2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4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  <c r="R99" s="6">
        <f t="shared" si="4"/>
        <v>74.699999999999989</v>
      </c>
      <c r="S99" t="str">
        <f t="shared" si="5"/>
        <v>September</v>
      </c>
      <c r="T99">
        <f t="shared" si="6"/>
        <v>9</v>
      </c>
      <c r="U99" t="str">
        <f t="shared" si="7"/>
        <v>Monday</v>
      </c>
    </row>
    <row r="100" spans="1:21" x14ac:dyDescent="0.2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4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  <c r="R100" s="6">
        <f t="shared" si="4"/>
        <v>158.25</v>
      </c>
      <c r="S100" t="str">
        <f t="shared" si="5"/>
        <v>March</v>
      </c>
      <c r="T100">
        <f t="shared" si="6"/>
        <v>3</v>
      </c>
      <c r="U100" t="str">
        <f t="shared" si="7"/>
        <v>Saturday</v>
      </c>
    </row>
    <row r="101" spans="1:21" x14ac:dyDescent="0.2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4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  <c r="R101" s="6">
        <f t="shared" si="4"/>
        <v>496.20000000000005</v>
      </c>
      <c r="S101" t="str">
        <f t="shared" si="5"/>
        <v>May</v>
      </c>
      <c r="T101">
        <f t="shared" si="6"/>
        <v>5</v>
      </c>
      <c r="U101" t="str">
        <f t="shared" si="7"/>
        <v>Friday</v>
      </c>
    </row>
    <row r="102" spans="1:21" x14ac:dyDescent="0.2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4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  <c r="R102" s="6">
        <f t="shared" si="4"/>
        <v>48.71</v>
      </c>
      <c r="S102" t="str">
        <f t="shared" si="5"/>
        <v>March</v>
      </c>
      <c r="T102">
        <f t="shared" si="6"/>
        <v>3</v>
      </c>
      <c r="U102" t="str">
        <f t="shared" si="7"/>
        <v>Tuesday</v>
      </c>
    </row>
    <row r="103" spans="1:21" x14ac:dyDescent="0.2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4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  <c r="R103" s="6">
        <f t="shared" si="4"/>
        <v>706.94999999999993</v>
      </c>
      <c r="S103" t="str">
        <f t="shared" si="5"/>
        <v>January</v>
      </c>
      <c r="T103">
        <f t="shared" si="6"/>
        <v>1</v>
      </c>
      <c r="U103" t="str">
        <f t="shared" si="7"/>
        <v>Thursday</v>
      </c>
    </row>
    <row r="104" spans="1:21" x14ac:dyDescent="0.2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4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  <c r="R104" s="6">
        <f t="shared" si="4"/>
        <v>207.63</v>
      </c>
      <c r="S104" t="str">
        <f t="shared" si="5"/>
        <v>January</v>
      </c>
      <c r="T104">
        <f t="shared" si="6"/>
        <v>1</v>
      </c>
      <c r="U104" t="str">
        <f t="shared" si="7"/>
        <v>Wednesday</v>
      </c>
    </row>
    <row r="105" spans="1:21" x14ac:dyDescent="0.2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4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  <c r="R105" s="6">
        <f t="shared" si="4"/>
        <v>349.56</v>
      </c>
      <c r="S105" t="str">
        <f t="shared" si="5"/>
        <v>March</v>
      </c>
      <c r="T105">
        <f t="shared" si="6"/>
        <v>3</v>
      </c>
      <c r="U105" t="str">
        <f t="shared" si="7"/>
        <v>Thursday</v>
      </c>
    </row>
    <row r="106" spans="1:21" x14ac:dyDescent="0.2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4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  <c r="R106" s="6">
        <f t="shared" si="4"/>
        <v>212.45000000000002</v>
      </c>
      <c r="S106" t="str">
        <f t="shared" si="5"/>
        <v>March</v>
      </c>
      <c r="T106">
        <f t="shared" si="6"/>
        <v>3</v>
      </c>
      <c r="U106" t="str">
        <f t="shared" si="7"/>
        <v>Tuesday</v>
      </c>
    </row>
    <row r="107" spans="1:21" x14ac:dyDescent="0.2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4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  <c r="R107" s="6">
        <f t="shared" si="4"/>
        <v>886.7</v>
      </c>
      <c r="S107" t="str">
        <f t="shared" si="5"/>
        <v>December</v>
      </c>
      <c r="T107">
        <f t="shared" si="6"/>
        <v>12</v>
      </c>
      <c r="U107" t="str">
        <f t="shared" si="7"/>
        <v>Sunday</v>
      </c>
    </row>
    <row r="108" spans="1:21" x14ac:dyDescent="0.2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4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  <c r="R108" s="6">
        <f t="shared" si="4"/>
        <v>164.28</v>
      </c>
      <c r="S108" t="str">
        <f t="shared" si="5"/>
        <v>May</v>
      </c>
      <c r="T108">
        <f t="shared" si="6"/>
        <v>5</v>
      </c>
      <c r="U108" t="str">
        <f t="shared" si="7"/>
        <v>Wednesday</v>
      </c>
    </row>
    <row r="109" spans="1:21" x14ac:dyDescent="0.2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4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  <c r="R109" s="6">
        <f t="shared" si="4"/>
        <v>372.78000000000003</v>
      </c>
      <c r="S109" t="str">
        <f t="shared" si="5"/>
        <v>March</v>
      </c>
      <c r="T109">
        <f t="shared" si="6"/>
        <v>3</v>
      </c>
      <c r="U109" t="str">
        <f t="shared" si="7"/>
        <v>Friday</v>
      </c>
    </row>
    <row r="110" spans="1:21" x14ac:dyDescent="0.2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4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  <c r="R110" s="6">
        <f t="shared" si="4"/>
        <v>305.82</v>
      </c>
      <c r="S110" t="str">
        <f t="shared" si="5"/>
        <v>March</v>
      </c>
      <c r="T110">
        <f t="shared" si="6"/>
        <v>3</v>
      </c>
      <c r="U110" t="str">
        <f t="shared" si="7"/>
        <v>Sunday</v>
      </c>
    </row>
    <row r="111" spans="1:21" x14ac:dyDescent="0.2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4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  <c r="R111" s="6">
        <f t="shared" si="4"/>
        <v>819.7</v>
      </c>
      <c r="S111" t="str">
        <f t="shared" si="5"/>
        <v>March</v>
      </c>
      <c r="T111">
        <f t="shared" si="6"/>
        <v>3</v>
      </c>
      <c r="U111" t="str">
        <f t="shared" si="7"/>
        <v>Sunday</v>
      </c>
    </row>
    <row r="112" spans="1:21" x14ac:dyDescent="0.2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4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  <c r="R112" s="6">
        <f t="shared" si="4"/>
        <v>32.979999999999997</v>
      </c>
      <c r="S112" t="str">
        <f t="shared" si="5"/>
        <v>May</v>
      </c>
      <c r="T112">
        <f t="shared" si="6"/>
        <v>5</v>
      </c>
      <c r="U112" t="str">
        <f t="shared" si="7"/>
        <v>Thursday</v>
      </c>
    </row>
    <row r="113" spans="1:21" x14ac:dyDescent="0.2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4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  <c r="R113" s="6">
        <f t="shared" si="4"/>
        <v>294.63</v>
      </c>
      <c r="S113" t="str">
        <f t="shared" si="5"/>
        <v>May</v>
      </c>
      <c r="T113">
        <f t="shared" si="6"/>
        <v>5</v>
      </c>
      <c r="U113" t="str">
        <f t="shared" si="7"/>
        <v>Thursday</v>
      </c>
    </row>
    <row r="114" spans="1:21" x14ac:dyDescent="0.2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4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  <c r="R114" s="6">
        <f t="shared" si="4"/>
        <v>509.88</v>
      </c>
      <c r="S114" t="str">
        <f t="shared" si="5"/>
        <v>February</v>
      </c>
      <c r="T114">
        <f t="shared" si="6"/>
        <v>2</v>
      </c>
      <c r="U114" t="str">
        <f t="shared" si="7"/>
        <v>Friday</v>
      </c>
    </row>
    <row r="115" spans="1:21" x14ac:dyDescent="0.2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4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  <c r="R115" s="6">
        <f t="shared" si="4"/>
        <v>522.63</v>
      </c>
      <c r="S115" t="str">
        <f t="shared" si="5"/>
        <v>January</v>
      </c>
      <c r="T115">
        <f t="shared" si="6"/>
        <v>1</v>
      </c>
      <c r="U115" t="str">
        <f t="shared" si="7"/>
        <v>Saturday</v>
      </c>
    </row>
    <row r="116" spans="1:21" x14ac:dyDescent="0.2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4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  <c r="R116" s="6">
        <f t="shared" si="4"/>
        <v>727.11</v>
      </c>
      <c r="S116" t="str">
        <f t="shared" si="5"/>
        <v>January</v>
      </c>
      <c r="T116">
        <f t="shared" si="6"/>
        <v>1</v>
      </c>
      <c r="U116" t="str">
        <f t="shared" si="7"/>
        <v>Wednesday</v>
      </c>
    </row>
    <row r="117" spans="1:21" x14ac:dyDescent="0.2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4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  <c r="R117" s="6">
        <f t="shared" si="4"/>
        <v>81.06</v>
      </c>
      <c r="S117" t="str">
        <f t="shared" si="5"/>
        <v>February</v>
      </c>
      <c r="T117">
        <f t="shared" si="6"/>
        <v>2</v>
      </c>
      <c r="U117" t="str">
        <f t="shared" si="7"/>
        <v>Sunday</v>
      </c>
    </row>
    <row r="118" spans="1:21" x14ac:dyDescent="0.2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4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  <c r="R118" s="6">
        <f t="shared" si="4"/>
        <v>109.7</v>
      </c>
      <c r="S118" t="str">
        <f t="shared" si="5"/>
        <v>May</v>
      </c>
      <c r="T118">
        <f t="shared" si="6"/>
        <v>5</v>
      </c>
      <c r="U118" t="str">
        <f t="shared" si="7"/>
        <v>Friday</v>
      </c>
    </row>
    <row r="119" spans="1:21" x14ac:dyDescent="0.2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4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  <c r="R119" s="6">
        <f t="shared" si="4"/>
        <v>51.36</v>
      </c>
      <c r="S119" t="str">
        <f t="shared" si="5"/>
        <v>January</v>
      </c>
      <c r="T119">
        <f t="shared" si="6"/>
        <v>1</v>
      </c>
      <c r="U119" t="str">
        <f t="shared" si="7"/>
        <v>Wednesday</v>
      </c>
    </row>
    <row r="120" spans="1:21" x14ac:dyDescent="0.2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4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  <c r="R120" s="6">
        <f t="shared" si="4"/>
        <v>109.60000000000001</v>
      </c>
      <c r="S120" t="str">
        <f t="shared" si="5"/>
        <v>February</v>
      </c>
      <c r="T120">
        <f t="shared" si="6"/>
        <v>2</v>
      </c>
      <c r="U120" t="str">
        <f t="shared" si="7"/>
        <v>Saturday</v>
      </c>
    </row>
    <row r="121" spans="1:21" x14ac:dyDescent="0.2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4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  <c r="R121" s="6">
        <f t="shared" si="4"/>
        <v>106.88</v>
      </c>
      <c r="S121" t="str">
        <f t="shared" si="5"/>
        <v>January</v>
      </c>
      <c r="T121">
        <f t="shared" si="6"/>
        <v>1</v>
      </c>
      <c r="U121" t="str">
        <f t="shared" si="7"/>
        <v>Sunday</v>
      </c>
    </row>
    <row r="122" spans="1:21" x14ac:dyDescent="0.2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4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  <c r="R122" s="6">
        <f t="shared" si="4"/>
        <v>796.48</v>
      </c>
      <c r="S122" t="str">
        <f t="shared" si="5"/>
        <v>February</v>
      </c>
      <c r="T122">
        <f t="shared" si="6"/>
        <v>2</v>
      </c>
      <c r="U122" t="str">
        <f t="shared" si="7"/>
        <v>Thursday</v>
      </c>
    </row>
    <row r="123" spans="1:21" x14ac:dyDescent="0.2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4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  <c r="R123" s="6">
        <f t="shared" si="4"/>
        <v>399.84</v>
      </c>
      <c r="S123" t="str">
        <f t="shared" si="5"/>
        <v>December</v>
      </c>
      <c r="T123">
        <f t="shared" si="6"/>
        <v>12</v>
      </c>
      <c r="U123" t="str">
        <f t="shared" si="7"/>
        <v>Sunday</v>
      </c>
    </row>
    <row r="124" spans="1:21" x14ac:dyDescent="0.2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4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  <c r="R124" s="6">
        <f t="shared" si="4"/>
        <v>899.64</v>
      </c>
      <c r="S124" t="str">
        <f t="shared" si="5"/>
        <v>September</v>
      </c>
      <c r="T124">
        <f t="shared" si="6"/>
        <v>9</v>
      </c>
      <c r="U124" t="str">
        <f t="shared" si="7"/>
        <v>Tuesday</v>
      </c>
    </row>
    <row r="125" spans="1:21" x14ac:dyDescent="0.2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4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  <c r="R125" s="6">
        <f t="shared" si="4"/>
        <v>511.28</v>
      </c>
      <c r="S125" t="str">
        <f t="shared" si="5"/>
        <v>March</v>
      </c>
      <c r="T125">
        <f t="shared" si="6"/>
        <v>3</v>
      </c>
      <c r="U125" t="str">
        <f t="shared" si="7"/>
        <v>Wednesday</v>
      </c>
    </row>
    <row r="126" spans="1:21" x14ac:dyDescent="0.2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4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  <c r="R126" s="6">
        <f t="shared" si="4"/>
        <v>451.76</v>
      </c>
      <c r="S126" t="str">
        <f t="shared" si="5"/>
        <v>September</v>
      </c>
      <c r="T126">
        <f t="shared" si="6"/>
        <v>9</v>
      </c>
      <c r="U126" t="str">
        <f t="shared" si="7"/>
        <v>Tuesday</v>
      </c>
    </row>
    <row r="127" spans="1:21" x14ac:dyDescent="0.2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4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  <c r="R127" s="6">
        <f t="shared" si="4"/>
        <v>655.82999999999993</v>
      </c>
      <c r="S127" t="str">
        <f t="shared" si="5"/>
        <v>October</v>
      </c>
      <c r="T127">
        <f t="shared" si="6"/>
        <v>10</v>
      </c>
      <c r="U127" t="str">
        <f t="shared" si="7"/>
        <v>Thursday</v>
      </c>
    </row>
    <row r="128" spans="1:21" x14ac:dyDescent="0.2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4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  <c r="R128" s="6">
        <f t="shared" si="4"/>
        <v>161.25</v>
      </c>
      <c r="S128" t="str">
        <f t="shared" si="5"/>
        <v>January</v>
      </c>
      <c r="T128">
        <f t="shared" si="6"/>
        <v>1</v>
      </c>
      <c r="U128" t="str">
        <f t="shared" si="7"/>
        <v>Sunday</v>
      </c>
    </row>
    <row r="129" spans="1:21" x14ac:dyDescent="0.2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4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  <c r="R129" s="6">
        <f t="shared" si="4"/>
        <v>285.57</v>
      </c>
      <c r="S129" t="str">
        <f t="shared" si="5"/>
        <v>August</v>
      </c>
      <c r="T129">
        <f t="shared" si="6"/>
        <v>8</v>
      </c>
      <c r="U129" t="str">
        <f t="shared" si="7"/>
        <v>Thursday</v>
      </c>
    </row>
    <row r="130" spans="1:21" x14ac:dyDescent="0.2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4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  <c r="R130" s="6">
        <f t="shared" si="4"/>
        <v>548.32000000000005</v>
      </c>
      <c r="S130" t="str">
        <f t="shared" si="5"/>
        <v>August</v>
      </c>
      <c r="T130">
        <f t="shared" si="6"/>
        <v>8</v>
      </c>
      <c r="U130" t="str">
        <f t="shared" si="7"/>
        <v>Thursday</v>
      </c>
    </row>
    <row r="131" spans="1:21" x14ac:dyDescent="0.2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4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  <c r="R131" s="6">
        <f t="shared" ref="R131:R194" si="8">H131*G131</f>
        <v>812.52</v>
      </c>
      <c r="S131" t="str">
        <f t="shared" ref="S131:S194" si="9">TEXT(K131,"mmmm")</f>
        <v>August</v>
      </c>
      <c r="T131">
        <f t="shared" ref="T131:T194" si="10">MONTH(K131)</f>
        <v>8</v>
      </c>
      <c r="U131" t="str">
        <f t="shared" ref="U131:U194" si="11">TEXT(K131,"dddd")</f>
        <v>Friday</v>
      </c>
    </row>
    <row r="132" spans="1:21" x14ac:dyDescent="0.2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4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  <c r="R132" s="6">
        <f t="shared" si="8"/>
        <v>277.33999999999997</v>
      </c>
      <c r="S132" t="str">
        <f t="shared" si="9"/>
        <v>January</v>
      </c>
      <c r="T132">
        <f t="shared" si="10"/>
        <v>1</v>
      </c>
      <c r="U132" t="str">
        <f t="shared" si="11"/>
        <v>Friday</v>
      </c>
    </row>
    <row r="133" spans="1:21" x14ac:dyDescent="0.2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4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  <c r="R133" s="6">
        <f t="shared" si="8"/>
        <v>552.78</v>
      </c>
      <c r="S133" t="str">
        <f t="shared" si="9"/>
        <v>June</v>
      </c>
      <c r="T133">
        <f t="shared" si="10"/>
        <v>6</v>
      </c>
      <c r="U133" t="str">
        <f t="shared" si="11"/>
        <v>Monday</v>
      </c>
    </row>
    <row r="134" spans="1:21" x14ac:dyDescent="0.2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4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  <c r="R134" s="6">
        <f t="shared" si="8"/>
        <v>139.36000000000001</v>
      </c>
      <c r="S134" t="str">
        <f t="shared" si="9"/>
        <v>October</v>
      </c>
      <c r="T134">
        <f t="shared" si="10"/>
        <v>10</v>
      </c>
      <c r="U134" t="str">
        <f t="shared" si="11"/>
        <v>Wednesday</v>
      </c>
    </row>
    <row r="135" spans="1:21" x14ac:dyDescent="0.2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4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  <c r="R135" s="6">
        <f t="shared" si="8"/>
        <v>524.70000000000005</v>
      </c>
      <c r="S135" t="str">
        <f t="shared" si="9"/>
        <v>February</v>
      </c>
      <c r="T135">
        <f t="shared" si="10"/>
        <v>2</v>
      </c>
      <c r="U135" t="str">
        <f t="shared" si="11"/>
        <v>Sunday</v>
      </c>
    </row>
    <row r="136" spans="1:21" x14ac:dyDescent="0.2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4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  <c r="R136" s="6">
        <f t="shared" si="8"/>
        <v>487.79999999999995</v>
      </c>
      <c r="S136" t="str">
        <f t="shared" si="9"/>
        <v>August</v>
      </c>
      <c r="T136">
        <f t="shared" si="10"/>
        <v>8</v>
      </c>
      <c r="U136" t="str">
        <f t="shared" si="11"/>
        <v>Saturday</v>
      </c>
    </row>
    <row r="137" spans="1:21" x14ac:dyDescent="0.2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4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  <c r="R137" s="6">
        <f t="shared" si="8"/>
        <v>270.65999999999997</v>
      </c>
      <c r="S137" t="str">
        <f t="shared" si="9"/>
        <v>February</v>
      </c>
      <c r="T137">
        <f t="shared" si="10"/>
        <v>2</v>
      </c>
      <c r="U137" t="str">
        <f t="shared" si="11"/>
        <v>Monday</v>
      </c>
    </row>
    <row r="138" spans="1:21" x14ac:dyDescent="0.2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4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  <c r="R138" s="6">
        <f t="shared" si="8"/>
        <v>131.54999999999998</v>
      </c>
      <c r="S138" t="str">
        <f t="shared" si="9"/>
        <v>January</v>
      </c>
      <c r="T138">
        <f t="shared" si="10"/>
        <v>1</v>
      </c>
      <c r="U138" t="str">
        <f t="shared" si="11"/>
        <v>Friday</v>
      </c>
    </row>
    <row r="139" spans="1:21" x14ac:dyDescent="0.2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4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  <c r="R139" s="6">
        <f t="shared" si="8"/>
        <v>206.52</v>
      </c>
      <c r="S139" t="str">
        <f t="shared" si="9"/>
        <v>February</v>
      </c>
      <c r="T139">
        <f t="shared" si="10"/>
        <v>2</v>
      </c>
      <c r="U139" t="str">
        <f t="shared" si="11"/>
        <v>Monday</v>
      </c>
    </row>
    <row r="140" spans="1:21" x14ac:dyDescent="0.2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4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  <c r="R140" s="6">
        <f t="shared" si="8"/>
        <v>519.09999999999991</v>
      </c>
      <c r="S140" t="str">
        <f t="shared" si="9"/>
        <v>February</v>
      </c>
      <c r="T140">
        <f t="shared" si="10"/>
        <v>2</v>
      </c>
      <c r="U140" t="str">
        <f t="shared" si="11"/>
        <v>Saturday</v>
      </c>
    </row>
    <row r="141" spans="1:21" x14ac:dyDescent="0.2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4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  <c r="R141" s="6">
        <f t="shared" si="8"/>
        <v>580</v>
      </c>
      <c r="S141" t="str">
        <f t="shared" si="9"/>
        <v>March</v>
      </c>
      <c r="T141">
        <f t="shared" si="10"/>
        <v>3</v>
      </c>
      <c r="U141" t="str">
        <f t="shared" si="11"/>
        <v>Saturday</v>
      </c>
    </row>
    <row r="142" spans="1:21" x14ac:dyDescent="0.2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4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  <c r="R142" s="6">
        <f t="shared" si="8"/>
        <v>898</v>
      </c>
      <c r="S142" t="str">
        <f t="shared" si="9"/>
        <v>January</v>
      </c>
      <c r="T142">
        <f t="shared" si="10"/>
        <v>1</v>
      </c>
      <c r="U142" t="str">
        <f t="shared" si="11"/>
        <v>Wednesday</v>
      </c>
    </row>
    <row r="143" spans="1:21" x14ac:dyDescent="0.2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4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  <c r="R143" s="6">
        <f t="shared" si="8"/>
        <v>905</v>
      </c>
      <c r="S143" t="str">
        <f t="shared" si="9"/>
        <v>January</v>
      </c>
      <c r="T143">
        <f t="shared" si="10"/>
        <v>1</v>
      </c>
      <c r="U143" t="str">
        <f t="shared" si="11"/>
        <v>Friday</v>
      </c>
    </row>
    <row r="144" spans="1:21" x14ac:dyDescent="0.2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4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  <c r="R144" s="6">
        <f t="shared" si="8"/>
        <v>686</v>
      </c>
      <c r="S144" t="str">
        <f t="shared" si="9"/>
        <v>May</v>
      </c>
      <c r="T144">
        <f t="shared" si="10"/>
        <v>5</v>
      </c>
      <c r="U144" t="str">
        <f t="shared" si="11"/>
        <v>Thursday</v>
      </c>
    </row>
    <row r="145" spans="1:21" x14ac:dyDescent="0.2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4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  <c r="R145" s="6">
        <f t="shared" si="8"/>
        <v>30.41</v>
      </c>
      <c r="S145" t="str">
        <f t="shared" si="9"/>
        <v>February</v>
      </c>
      <c r="T145">
        <f t="shared" si="10"/>
        <v>2</v>
      </c>
      <c r="U145" t="str">
        <f t="shared" si="11"/>
        <v>Friday</v>
      </c>
    </row>
    <row r="146" spans="1:21" x14ac:dyDescent="0.2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4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  <c r="R146" s="6">
        <f t="shared" si="8"/>
        <v>467.70000000000005</v>
      </c>
      <c r="S146" t="str">
        <f t="shared" si="9"/>
        <v>January</v>
      </c>
      <c r="T146">
        <f t="shared" si="10"/>
        <v>1</v>
      </c>
      <c r="U146" t="str">
        <f t="shared" si="11"/>
        <v>Monday</v>
      </c>
    </row>
    <row r="147" spans="1:21" x14ac:dyDescent="0.2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4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  <c r="R147" s="6">
        <f t="shared" si="8"/>
        <v>277.56</v>
      </c>
      <c r="S147" t="str">
        <f t="shared" si="9"/>
        <v>August</v>
      </c>
      <c r="T147">
        <f t="shared" si="10"/>
        <v>8</v>
      </c>
      <c r="U147" t="str">
        <f t="shared" si="11"/>
        <v>Saturday</v>
      </c>
    </row>
    <row r="148" spans="1:21" x14ac:dyDescent="0.2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4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  <c r="R148" s="6">
        <f t="shared" si="8"/>
        <v>301.39999999999998</v>
      </c>
      <c r="S148" t="str">
        <f t="shared" si="9"/>
        <v>October</v>
      </c>
      <c r="T148">
        <f t="shared" si="10"/>
        <v>10</v>
      </c>
      <c r="U148" t="str">
        <f t="shared" si="11"/>
        <v>Wednesday</v>
      </c>
    </row>
    <row r="149" spans="1:21" x14ac:dyDescent="0.2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4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  <c r="R149" s="6">
        <f t="shared" si="8"/>
        <v>264.56</v>
      </c>
      <c r="S149" t="str">
        <f t="shared" si="9"/>
        <v>March</v>
      </c>
      <c r="T149">
        <f t="shared" si="10"/>
        <v>3</v>
      </c>
      <c r="U149" t="str">
        <f t="shared" si="11"/>
        <v>Tuesday</v>
      </c>
    </row>
    <row r="150" spans="1:21" x14ac:dyDescent="0.2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4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  <c r="R150" s="6">
        <f t="shared" si="8"/>
        <v>574.88</v>
      </c>
      <c r="S150" t="str">
        <f t="shared" si="9"/>
        <v>June</v>
      </c>
      <c r="T150">
        <f t="shared" si="10"/>
        <v>6</v>
      </c>
      <c r="U150" t="str">
        <f t="shared" si="11"/>
        <v>Monday</v>
      </c>
    </row>
    <row r="151" spans="1:21" x14ac:dyDescent="0.2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4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  <c r="R151" s="6">
        <f t="shared" si="8"/>
        <v>259.68</v>
      </c>
      <c r="S151" t="str">
        <f t="shared" si="9"/>
        <v>March</v>
      </c>
      <c r="T151">
        <f t="shared" si="10"/>
        <v>3</v>
      </c>
      <c r="U151" t="str">
        <f t="shared" si="11"/>
        <v>Wednesday</v>
      </c>
    </row>
    <row r="152" spans="1:21" x14ac:dyDescent="0.2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4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  <c r="R152" s="6">
        <f t="shared" si="8"/>
        <v>366.16</v>
      </c>
      <c r="S152" t="str">
        <f t="shared" si="9"/>
        <v>March</v>
      </c>
      <c r="T152">
        <f t="shared" si="10"/>
        <v>3</v>
      </c>
      <c r="U152" t="str">
        <f t="shared" si="11"/>
        <v>Saturday</v>
      </c>
    </row>
    <row r="153" spans="1:21" x14ac:dyDescent="0.2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4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  <c r="R153" s="6">
        <f t="shared" si="8"/>
        <v>241.92000000000002</v>
      </c>
      <c r="S153" t="str">
        <f t="shared" si="9"/>
        <v>November</v>
      </c>
      <c r="T153">
        <f t="shared" si="10"/>
        <v>11</v>
      </c>
      <c r="U153" t="str">
        <f t="shared" si="11"/>
        <v>Sunday</v>
      </c>
    </row>
    <row r="154" spans="1:21" x14ac:dyDescent="0.2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4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  <c r="R154" s="6">
        <f t="shared" si="8"/>
        <v>749.16</v>
      </c>
      <c r="S154" t="str">
        <f t="shared" si="9"/>
        <v>January</v>
      </c>
      <c r="T154">
        <f t="shared" si="10"/>
        <v>1</v>
      </c>
      <c r="U154" t="str">
        <f t="shared" si="11"/>
        <v>Tuesday</v>
      </c>
    </row>
    <row r="155" spans="1:21" x14ac:dyDescent="0.2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4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  <c r="R155" s="6">
        <f t="shared" si="8"/>
        <v>98.88</v>
      </c>
      <c r="S155" t="str">
        <f t="shared" si="9"/>
        <v>July</v>
      </c>
      <c r="T155">
        <f t="shared" si="10"/>
        <v>7</v>
      </c>
      <c r="U155" t="str">
        <f t="shared" si="11"/>
        <v>Tuesday</v>
      </c>
    </row>
    <row r="156" spans="1:21" x14ac:dyDescent="0.2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4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  <c r="R156" s="6">
        <f t="shared" si="8"/>
        <v>647.76</v>
      </c>
      <c r="S156" t="str">
        <f t="shared" si="9"/>
        <v>January</v>
      </c>
      <c r="T156">
        <f t="shared" si="10"/>
        <v>1</v>
      </c>
      <c r="U156" t="str">
        <f t="shared" si="11"/>
        <v>Monday</v>
      </c>
    </row>
    <row r="157" spans="1:21" x14ac:dyDescent="0.2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4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  <c r="R157" s="6">
        <f t="shared" si="8"/>
        <v>461.45000000000005</v>
      </c>
      <c r="S157" t="str">
        <f t="shared" si="9"/>
        <v>February</v>
      </c>
      <c r="T157">
        <f t="shared" si="10"/>
        <v>2</v>
      </c>
      <c r="U157" t="str">
        <f t="shared" si="11"/>
        <v>Wednesday</v>
      </c>
    </row>
    <row r="158" spans="1:21" x14ac:dyDescent="0.2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4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  <c r="R158" s="6">
        <f t="shared" si="8"/>
        <v>72.17</v>
      </c>
      <c r="S158" t="str">
        <f t="shared" si="9"/>
        <v>April</v>
      </c>
      <c r="T158">
        <f t="shared" si="10"/>
        <v>4</v>
      </c>
      <c r="U158" t="str">
        <f t="shared" si="11"/>
        <v>Monday</v>
      </c>
    </row>
    <row r="159" spans="1:21" x14ac:dyDescent="0.2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4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  <c r="R159" s="6">
        <f t="shared" si="8"/>
        <v>251.4</v>
      </c>
      <c r="S159" t="str">
        <f t="shared" si="9"/>
        <v>July</v>
      </c>
      <c r="T159">
        <f t="shared" si="10"/>
        <v>7</v>
      </c>
      <c r="U159" t="str">
        <f t="shared" si="11"/>
        <v>Wednesday</v>
      </c>
    </row>
    <row r="160" spans="1:21" x14ac:dyDescent="0.2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4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  <c r="R160" s="6">
        <f t="shared" si="8"/>
        <v>874.98</v>
      </c>
      <c r="S160" t="str">
        <f t="shared" si="9"/>
        <v>March</v>
      </c>
      <c r="T160">
        <f t="shared" si="10"/>
        <v>3</v>
      </c>
      <c r="U160" t="str">
        <f t="shared" si="11"/>
        <v>Saturday</v>
      </c>
    </row>
    <row r="161" spans="1:21" x14ac:dyDescent="0.2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4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  <c r="R161" s="6">
        <f t="shared" si="8"/>
        <v>560.34</v>
      </c>
      <c r="S161" t="str">
        <f t="shared" si="9"/>
        <v>March</v>
      </c>
      <c r="T161">
        <f t="shared" si="10"/>
        <v>3</v>
      </c>
      <c r="U161" t="str">
        <f t="shared" si="11"/>
        <v>Wednesday</v>
      </c>
    </row>
    <row r="162" spans="1:21" x14ac:dyDescent="0.2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4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  <c r="R162" s="6">
        <f t="shared" si="8"/>
        <v>345.44</v>
      </c>
      <c r="S162" t="str">
        <f t="shared" si="9"/>
        <v>January</v>
      </c>
      <c r="T162">
        <f t="shared" si="10"/>
        <v>1</v>
      </c>
      <c r="U162" t="str">
        <f t="shared" si="11"/>
        <v>Saturday</v>
      </c>
    </row>
    <row r="163" spans="1:21" x14ac:dyDescent="0.2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4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  <c r="R163" s="6">
        <f t="shared" si="8"/>
        <v>63.69</v>
      </c>
      <c r="S163" t="str">
        <f t="shared" si="9"/>
        <v>February</v>
      </c>
      <c r="T163">
        <f t="shared" si="10"/>
        <v>2</v>
      </c>
      <c r="U163" t="str">
        <f t="shared" si="11"/>
        <v>Monday</v>
      </c>
    </row>
    <row r="164" spans="1:21" x14ac:dyDescent="0.2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4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  <c r="R164" s="6">
        <f t="shared" si="8"/>
        <v>320.52999999999997</v>
      </c>
      <c r="S164" t="str">
        <f t="shared" si="9"/>
        <v>March</v>
      </c>
      <c r="T164">
        <f t="shared" si="10"/>
        <v>3</v>
      </c>
      <c r="U164" t="str">
        <f t="shared" si="11"/>
        <v>Wednesday</v>
      </c>
    </row>
    <row r="165" spans="1:21" x14ac:dyDescent="0.2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4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  <c r="R165" s="6">
        <f t="shared" si="8"/>
        <v>152.80000000000001</v>
      </c>
      <c r="S165" t="str">
        <f t="shared" si="9"/>
        <v>January</v>
      </c>
      <c r="T165">
        <f t="shared" si="10"/>
        <v>1</v>
      </c>
      <c r="U165" t="str">
        <f t="shared" si="11"/>
        <v>Wednesday</v>
      </c>
    </row>
    <row r="166" spans="1:21" x14ac:dyDescent="0.2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4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  <c r="R166" s="6">
        <f t="shared" si="8"/>
        <v>399</v>
      </c>
      <c r="S166" t="str">
        <f t="shared" si="9"/>
        <v>February</v>
      </c>
      <c r="T166">
        <f t="shared" si="10"/>
        <v>2</v>
      </c>
      <c r="U166" t="str">
        <f t="shared" si="11"/>
        <v>Wednesday</v>
      </c>
    </row>
    <row r="167" spans="1:21" x14ac:dyDescent="0.2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4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  <c r="R167" s="6">
        <f t="shared" si="8"/>
        <v>340.56</v>
      </c>
      <c r="S167" t="str">
        <f t="shared" si="9"/>
        <v>February</v>
      </c>
      <c r="T167">
        <f t="shared" si="10"/>
        <v>2</v>
      </c>
      <c r="U167" t="str">
        <f t="shared" si="11"/>
        <v>Monday</v>
      </c>
    </row>
    <row r="168" spans="1:21" x14ac:dyDescent="0.2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4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  <c r="R168" s="6">
        <f t="shared" si="8"/>
        <v>955.8</v>
      </c>
      <c r="S168" t="str">
        <f t="shared" si="9"/>
        <v>January</v>
      </c>
      <c r="T168">
        <f t="shared" si="10"/>
        <v>1</v>
      </c>
      <c r="U168" t="str">
        <f t="shared" si="11"/>
        <v>Wednesday</v>
      </c>
    </row>
    <row r="169" spans="1:21" x14ac:dyDescent="0.2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4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  <c r="R169" s="6">
        <f t="shared" si="8"/>
        <v>989.80000000000007</v>
      </c>
      <c r="S169" t="str">
        <f t="shared" si="9"/>
        <v>August</v>
      </c>
      <c r="T169">
        <f t="shared" si="10"/>
        <v>8</v>
      </c>
      <c r="U169" t="str">
        <f t="shared" si="11"/>
        <v>Friday</v>
      </c>
    </row>
    <row r="170" spans="1:21" x14ac:dyDescent="0.2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4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  <c r="R170" s="6">
        <f t="shared" si="8"/>
        <v>307.68</v>
      </c>
      <c r="S170" t="str">
        <f t="shared" si="9"/>
        <v>January</v>
      </c>
      <c r="T170">
        <f t="shared" si="10"/>
        <v>1</v>
      </c>
      <c r="U170" t="str">
        <f t="shared" si="11"/>
        <v>Saturday</v>
      </c>
    </row>
    <row r="171" spans="1:21" x14ac:dyDescent="0.2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4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  <c r="R171" s="6">
        <f t="shared" si="8"/>
        <v>486.64</v>
      </c>
      <c r="S171" t="str">
        <f t="shared" si="9"/>
        <v>January</v>
      </c>
      <c r="T171">
        <f t="shared" si="10"/>
        <v>1</v>
      </c>
      <c r="U171" t="str">
        <f t="shared" si="11"/>
        <v>Wednesday</v>
      </c>
    </row>
    <row r="172" spans="1:21" x14ac:dyDescent="0.2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4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  <c r="R172" s="6">
        <f t="shared" si="8"/>
        <v>350.05</v>
      </c>
      <c r="S172" t="str">
        <f t="shared" si="9"/>
        <v>March</v>
      </c>
      <c r="T172">
        <f t="shared" si="10"/>
        <v>3</v>
      </c>
      <c r="U172" t="str">
        <f t="shared" si="11"/>
        <v>Friday</v>
      </c>
    </row>
    <row r="173" spans="1:21" x14ac:dyDescent="0.2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4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  <c r="R173" s="6">
        <f t="shared" si="8"/>
        <v>400.25</v>
      </c>
      <c r="S173" t="str">
        <f t="shared" si="9"/>
        <v>January</v>
      </c>
      <c r="T173">
        <f t="shared" si="10"/>
        <v>1</v>
      </c>
      <c r="U173" t="str">
        <f t="shared" si="11"/>
        <v>Saturday</v>
      </c>
    </row>
    <row r="174" spans="1:21" x14ac:dyDescent="0.2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4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  <c r="R174" s="6">
        <f t="shared" si="8"/>
        <v>166.8</v>
      </c>
      <c r="S174" t="str">
        <f t="shared" si="9"/>
        <v>March</v>
      </c>
      <c r="T174">
        <f t="shared" si="10"/>
        <v>3</v>
      </c>
      <c r="U174" t="str">
        <f t="shared" si="11"/>
        <v>Sunday</v>
      </c>
    </row>
    <row r="175" spans="1:21" x14ac:dyDescent="0.2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4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  <c r="R175" s="6">
        <f t="shared" si="8"/>
        <v>317.34000000000003</v>
      </c>
      <c r="S175" t="str">
        <f t="shared" si="9"/>
        <v>January</v>
      </c>
      <c r="T175">
        <f t="shared" si="10"/>
        <v>1</v>
      </c>
      <c r="U175" t="str">
        <f t="shared" si="11"/>
        <v>Saturday</v>
      </c>
    </row>
    <row r="176" spans="1:21" x14ac:dyDescent="0.2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4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  <c r="R176" s="6">
        <f t="shared" si="8"/>
        <v>158.32</v>
      </c>
      <c r="S176" t="str">
        <f t="shared" si="9"/>
        <v>January</v>
      </c>
      <c r="T176">
        <f t="shared" si="10"/>
        <v>1</v>
      </c>
      <c r="U176" t="str">
        <f t="shared" si="11"/>
        <v>Friday</v>
      </c>
    </row>
    <row r="177" spans="1:21" x14ac:dyDescent="0.2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4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  <c r="R177" s="6">
        <f t="shared" si="8"/>
        <v>304.56000000000006</v>
      </c>
      <c r="S177" t="str">
        <f t="shared" si="9"/>
        <v>March</v>
      </c>
      <c r="T177">
        <f t="shared" si="10"/>
        <v>3</v>
      </c>
      <c r="U177" t="str">
        <f t="shared" si="11"/>
        <v>Thursday</v>
      </c>
    </row>
    <row r="178" spans="1:21" x14ac:dyDescent="0.2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4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  <c r="R178" s="6">
        <f t="shared" si="8"/>
        <v>177.36</v>
      </c>
      <c r="S178" t="str">
        <f t="shared" si="9"/>
        <v>March</v>
      </c>
      <c r="T178">
        <f t="shared" si="10"/>
        <v>3</v>
      </c>
      <c r="U178" t="str">
        <f t="shared" si="11"/>
        <v>Sunday</v>
      </c>
    </row>
    <row r="179" spans="1:21" x14ac:dyDescent="0.2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4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  <c r="R179" s="6">
        <f t="shared" si="8"/>
        <v>157.57000000000002</v>
      </c>
      <c r="S179" t="str">
        <f t="shared" si="9"/>
        <v>February</v>
      </c>
      <c r="T179">
        <f t="shared" si="10"/>
        <v>2</v>
      </c>
      <c r="U179" t="str">
        <f t="shared" si="11"/>
        <v>Wednesday</v>
      </c>
    </row>
    <row r="180" spans="1:21" x14ac:dyDescent="0.2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4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  <c r="R180" s="6">
        <f t="shared" si="8"/>
        <v>443.28</v>
      </c>
      <c r="S180" t="str">
        <f t="shared" si="9"/>
        <v>March</v>
      </c>
      <c r="T180">
        <f t="shared" si="10"/>
        <v>3</v>
      </c>
      <c r="U180" t="str">
        <f t="shared" si="11"/>
        <v>Saturday</v>
      </c>
    </row>
    <row r="181" spans="1:21" x14ac:dyDescent="0.2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4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  <c r="R181" s="6">
        <f t="shared" si="8"/>
        <v>260.39999999999998</v>
      </c>
      <c r="S181" t="str">
        <f t="shared" si="9"/>
        <v>January</v>
      </c>
      <c r="T181">
        <f t="shared" si="10"/>
        <v>1</v>
      </c>
      <c r="U181" t="str">
        <f t="shared" si="11"/>
        <v>Monday</v>
      </c>
    </row>
    <row r="182" spans="1:21" x14ac:dyDescent="0.2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4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  <c r="R182" s="6">
        <f t="shared" si="8"/>
        <v>449.82000000000005</v>
      </c>
      <c r="S182" t="str">
        <f t="shared" si="9"/>
        <v>September</v>
      </c>
      <c r="T182">
        <f t="shared" si="10"/>
        <v>9</v>
      </c>
      <c r="U182" t="str">
        <f t="shared" si="11"/>
        <v>Monday</v>
      </c>
    </row>
    <row r="183" spans="1:21" x14ac:dyDescent="0.2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4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  <c r="R183" s="6">
        <f t="shared" si="8"/>
        <v>307.76</v>
      </c>
      <c r="S183" t="str">
        <f t="shared" si="9"/>
        <v>January</v>
      </c>
      <c r="T183">
        <f t="shared" si="10"/>
        <v>1</v>
      </c>
      <c r="U183" t="str">
        <f t="shared" si="11"/>
        <v>Wednesday</v>
      </c>
    </row>
    <row r="184" spans="1:21" x14ac:dyDescent="0.2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4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  <c r="R184" s="6">
        <f t="shared" si="8"/>
        <v>155</v>
      </c>
      <c r="S184" t="str">
        <f t="shared" si="9"/>
        <v>March</v>
      </c>
      <c r="T184">
        <f t="shared" si="10"/>
        <v>3</v>
      </c>
      <c r="U184" t="str">
        <f t="shared" si="11"/>
        <v>Saturday</v>
      </c>
    </row>
    <row r="185" spans="1:21" x14ac:dyDescent="0.2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4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  <c r="R185" s="6">
        <f t="shared" si="8"/>
        <v>274.48</v>
      </c>
      <c r="S185" t="str">
        <f t="shared" si="9"/>
        <v>January</v>
      </c>
      <c r="T185">
        <f t="shared" si="10"/>
        <v>1</v>
      </c>
      <c r="U185" t="str">
        <f t="shared" si="11"/>
        <v>Friday</v>
      </c>
    </row>
    <row r="186" spans="1:21" x14ac:dyDescent="0.2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4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  <c r="R186" s="6">
        <f t="shared" si="8"/>
        <v>86.38</v>
      </c>
      <c r="S186" t="str">
        <f t="shared" si="9"/>
        <v>April</v>
      </c>
      <c r="T186">
        <f t="shared" si="10"/>
        <v>4</v>
      </c>
      <c r="U186" t="str">
        <f t="shared" si="11"/>
        <v>Wednesday</v>
      </c>
    </row>
    <row r="187" spans="1:21" x14ac:dyDescent="0.2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4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  <c r="R187" s="6">
        <f t="shared" si="8"/>
        <v>54.239999999999995</v>
      </c>
      <c r="S187" t="str">
        <f t="shared" si="9"/>
        <v>May</v>
      </c>
      <c r="T187">
        <f t="shared" si="10"/>
        <v>5</v>
      </c>
      <c r="U187" t="str">
        <f t="shared" si="11"/>
        <v>Friday</v>
      </c>
    </row>
    <row r="188" spans="1:21" x14ac:dyDescent="0.2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4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  <c r="R188" s="6">
        <f t="shared" si="8"/>
        <v>755.92</v>
      </c>
      <c r="S188" t="str">
        <f t="shared" si="9"/>
        <v>March</v>
      </c>
      <c r="T188">
        <f t="shared" si="10"/>
        <v>3</v>
      </c>
      <c r="U188" t="str">
        <f t="shared" si="11"/>
        <v>Sunday</v>
      </c>
    </row>
    <row r="189" spans="1:21" x14ac:dyDescent="0.2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4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  <c r="R189" s="6">
        <f t="shared" si="8"/>
        <v>185.88</v>
      </c>
      <c r="S189" t="str">
        <f t="shared" si="9"/>
        <v>August</v>
      </c>
      <c r="T189">
        <f t="shared" si="10"/>
        <v>8</v>
      </c>
      <c r="U189" t="str">
        <f t="shared" si="11"/>
        <v>Friday</v>
      </c>
    </row>
    <row r="190" spans="1:21" x14ac:dyDescent="0.2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4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  <c r="R190" s="6">
        <f t="shared" si="8"/>
        <v>74.069999999999993</v>
      </c>
      <c r="S190" t="str">
        <f t="shared" si="9"/>
        <v>October</v>
      </c>
      <c r="T190">
        <f t="shared" si="10"/>
        <v>10</v>
      </c>
      <c r="U190" t="str">
        <f t="shared" si="11"/>
        <v>Wednesday</v>
      </c>
    </row>
    <row r="191" spans="1:21" x14ac:dyDescent="0.2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4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  <c r="R191" s="6">
        <f t="shared" si="8"/>
        <v>279.24</v>
      </c>
      <c r="S191" t="str">
        <f t="shared" si="9"/>
        <v>January</v>
      </c>
      <c r="T191">
        <f t="shared" si="10"/>
        <v>1</v>
      </c>
      <c r="U191" t="str">
        <f t="shared" si="11"/>
        <v>Monday</v>
      </c>
    </row>
    <row r="192" spans="1:21" x14ac:dyDescent="0.2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4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  <c r="R192" s="6">
        <f t="shared" si="8"/>
        <v>231.12</v>
      </c>
      <c r="S192" t="str">
        <f t="shared" si="9"/>
        <v>November</v>
      </c>
      <c r="T192">
        <f t="shared" si="10"/>
        <v>11</v>
      </c>
      <c r="U192" t="str">
        <f t="shared" si="11"/>
        <v>Saturday</v>
      </c>
    </row>
    <row r="193" spans="1:21" x14ac:dyDescent="0.2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4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  <c r="R193" s="6">
        <f t="shared" si="8"/>
        <v>147.04</v>
      </c>
      <c r="S193" t="str">
        <f t="shared" si="9"/>
        <v>January</v>
      </c>
      <c r="T193">
        <f t="shared" si="10"/>
        <v>1</v>
      </c>
      <c r="U193" t="str">
        <f t="shared" si="11"/>
        <v>Tuesday</v>
      </c>
    </row>
    <row r="194" spans="1:21" x14ac:dyDescent="0.2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4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  <c r="R194" s="6">
        <f t="shared" si="8"/>
        <v>790.19999999999993</v>
      </c>
      <c r="S194" t="str">
        <f t="shared" si="9"/>
        <v>March</v>
      </c>
      <c r="T194">
        <f t="shared" si="10"/>
        <v>3</v>
      </c>
      <c r="U194" t="str">
        <f t="shared" si="11"/>
        <v>Saturday</v>
      </c>
    </row>
    <row r="195" spans="1:21" x14ac:dyDescent="0.2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4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  <c r="R195" s="6">
        <f t="shared" ref="R195:R258" si="12">H195*G195</f>
        <v>102.2</v>
      </c>
      <c r="S195" t="str">
        <f t="shared" ref="S195:S258" si="13">TEXT(K195,"mmmm")</f>
        <v>January</v>
      </c>
      <c r="T195">
        <f t="shared" ref="T195:T258" si="14">MONTH(K195)</f>
        <v>1</v>
      </c>
      <c r="U195" t="str">
        <f t="shared" ref="U195:U258" si="15">TEXT(K195,"dddd")</f>
        <v>Saturday</v>
      </c>
    </row>
    <row r="196" spans="1:21" x14ac:dyDescent="0.2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4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  <c r="R196" s="6">
        <f t="shared" si="12"/>
        <v>163.55000000000001</v>
      </c>
      <c r="S196" t="str">
        <f t="shared" si="13"/>
        <v>March</v>
      </c>
      <c r="T196">
        <f t="shared" si="14"/>
        <v>3</v>
      </c>
      <c r="U196" t="str">
        <f t="shared" si="15"/>
        <v>Tuesday</v>
      </c>
    </row>
    <row r="197" spans="1:21" x14ac:dyDescent="0.2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4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  <c r="R197" s="6">
        <f t="shared" si="12"/>
        <v>74.290000000000006</v>
      </c>
      <c r="S197" t="str">
        <f t="shared" si="13"/>
        <v>January</v>
      </c>
      <c r="T197">
        <f t="shared" si="14"/>
        <v>1</v>
      </c>
      <c r="U197" t="str">
        <f t="shared" si="15"/>
        <v>Sunday</v>
      </c>
    </row>
    <row r="198" spans="1:21" x14ac:dyDescent="0.2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4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  <c r="R198" s="6">
        <f t="shared" si="12"/>
        <v>87.4</v>
      </c>
      <c r="S198" t="str">
        <f t="shared" si="13"/>
        <v>March</v>
      </c>
      <c r="T198">
        <f t="shared" si="14"/>
        <v>3</v>
      </c>
      <c r="U198" t="str">
        <f t="shared" si="15"/>
        <v>Tuesday</v>
      </c>
    </row>
    <row r="199" spans="1:21" x14ac:dyDescent="0.2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4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  <c r="R199" s="6">
        <f t="shared" si="12"/>
        <v>25.29</v>
      </c>
      <c r="S199" t="str">
        <f t="shared" si="13"/>
        <v>March</v>
      </c>
      <c r="T199">
        <f t="shared" si="14"/>
        <v>3</v>
      </c>
      <c r="U199" t="str">
        <f t="shared" si="15"/>
        <v>Saturday</v>
      </c>
    </row>
    <row r="200" spans="1:21" x14ac:dyDescent="0.2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4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  <c r="R200" s="6">
        <f t="shared" si="12"/>
        <v>166</v>
      </c>
      <c r="S200" t="str">
        <f t="shared" si="13"/>
        <v>December</v>
      </c>
      <c r="T200">
        <f t="shared" si="14"/>
        <v>12</v>
      </c>
      <c r="U200" t="str">
        <f t="shared" si="15"/>
        <v>Tuesday</v>
      </c>
    </row>
    <row r="201" spans="1:21" x14ac:dyDescent="0.2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4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  <c r="R201" s="6">
        <f t="shared" si="12"/>
        <v>356.95</v>
      </c>
      <c r="S201" t="str">
        <f t="shared" si="13"/>
        <v>February</v>
      </c>
      <c r="T201">
        <f t="shared" si="14"/>
        <v>2</v>
      </c>
      <c r="U201" t="str">
        <f t="shared" si="15"/>
        <v>Sunday</v>
      </c>
    </row>
    <row r="202" spans="1:21" x14ac:dyDescent="0.2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4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  <c r="R202" s="6">
        <f t="shared" si="12"/>
        <v>114.89999999999999</v>
      </c>
      <c r="S202" t="str">
        <f t="shared" si="13"/>
        <v>January</v>
      </c>
      <c r="T202">
        <f t="shared" si="14"/>
        <v>1</v>
      </c>
      <c r="U202" t="str">
        <f t="shared" si="15"/>
        <v>Tuesday</v>
      </c>
    </row>
    <row r="203" spans="1:21" x14ac:dyDescent="0.2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4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  <c r="R203" s="6">
        <f t="shared" si="12"/>
        <v>229.96</v>
      </c>
      <c r="S203" t="str">
        <f t="shared" si="13"/>
        <v>March</v>
      </c>
      <c r="T203">
        <f t="shared" si="14"/>
        <v>3</v>
      </c>
      <c r="U203" t="str">
        <f t="shared" si="15"/>
        <v>Friday</v>
      </c>
    </row>
    <row r="204" spans="1:21" x14ac:dyDescent="0.2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4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  <c r="R204" s="6">
        <f t="shared" si="12"/>
        <v>429.87</v>
      </c>
      <c r="S204" t="str">
        <f t="shared" si="13"/>
        <v>January</v>
      </c>
      <c r="T204">
        <f t="shared" si="14"/>
        <v>1</v>
      </c>
      <c r="U204" t="str">
        <f t="shared" si="15"/>
        <v>Monday</v>
      </c>
    </row>
    <row r="205" spans="1:21" x14ac:dyDescent="0.2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4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  <c r="R205" s="6">
        <f t="shared" si="12"/>
        <v>259</v>
      </c>
      <c r="S205" t="str">
        <f t="shared" si="13"/>
        <v>June</v>
      </c>
      <c r="T205">
        <f t="shared" si="14"/>
        <v>6</v>
      </c>
      <c r="U205" t="str">
        <f t="shared" si="15"/>
        <v>Sunday</v>
      </c>
    </row>
    <row r="206" spans="1:21" x14ac:dyDescent="0.2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4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  <c r="R206" s="6">
        <f t="shared" si="12"/>
        <v>88.85</v>
      </c>
      <c r="S206" t="str">
        <f t="shared" si="13"/>
        <v>February</v>
      </c>
      <c r="T206">
        <f t="shared" si="14"/>
        <v>2</v>
      </c>
      <c r="U206" t="str">
        <f t="shared" si="15"/>
        <v>Friday</v>
      </c>
    </row>
    <row r="207" spans="1:21" x14ac:dyDescent="0.2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4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  <c r="R207" s="6">
        <f t="shared" si="12"/>
        <v>207.27</v>
      </c>
      <c r="S207" t="str">
        <f t="shared" si="13"/>
        <v>March</v>
      </c>
      <c r="T207">
        <f t="shared" si="14"/>
        <v>3</v>
      </c>
      <c r="U207" t="str">
        <f t="shared" si="15"/>
        <v>Friday</v>
      </c>
    </row>
    <row r="208" spans="1:21" x14ac:dyDescent="0.2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4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  <c r="R208" s="6">
        <f t="shared" si="12"/>
        <v>599.85</v>
      </c>
      <c r="S208" t="str">
        <f t="shared" si="13"/>
        <v>April</v>
      </c>
      <c r="T208">
        <f t="shared" si="14"/>
        <v>4</v>
      </c>
      <c r="U208" t="str">
        <f t="shared" si="15"/>
        <v>Monday</v>
      </c>
    </row>
    <row r="209" spans="1:21" x14ac:dyDescent="0.2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4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  <c r="R209" s="6">
        <f t="shared" si="12"/>
        <v>285.3</v>
      </c>
      <c r="S209" t="str">
        <f t="shared" si="13"/>
        <v>March</v>
      </c>
      <c r="T209">
        <f t="shared" si="14"/>
        <v>3</v>
      </c>
      <c r="U209" t="str">
        <f t="shared" si="15"/>
        <v>Monday</v>
      </c>
    </row>
    <row r="210" spans="1:21" x14ac:dyDescent="0.2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4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  <c r="R210" s="6">
        <f t="shared" si="12"/>
        <v>91.11</v>
      </c>
      <c r="S210" t="str">
        <f t="shared" si="13"/>
        <v>March</v>
      </c>
      <c r="T210">
        <f t="shared" si="14"/>
        <v>3</v>
      </c>
      <c r="U210" t="str">
        <f t="shared" si="15"/>
        <v>Thursday</v>
      </c>
    </row>
    <row r="211" spans="1:21" x14ac:dyDescent="0.2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4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  <c r="R211" s="6">
        <f t="shared" si="12"/>
        <v>897.57</v>
      </c>
      <c r="S211" t="str">
        <f t="shared" si="13"/>
        <v>February</v>
      </c>
      <c r="T211">
        <f t="shared" si="14"/>
        <v>2</v>
      </c>
      <c r="U211" t="str">
        <f t="shared" si="15"/>
        <v>Sunday</v>
      </c>
    </row>
    <row r="212" spans="1:21" x14ac:dyDescent="0.2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4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  <c r="R212" s="6">
        <f t="shared" si="12"/>
        <v>236.07</v>
      </c>
      <c r="S212" t="str">
        <f t="shared" si="13"/>
        <v>January</v>
      </c>
      <c r="T212">
        <f t="shared" si="14"/>
        <v>1</v>
      </c>
      <c r="U212" t="str">
        <f t="shared" si="15"/>
        <v>Friday</v>
      </c>
    </row>
    <row r="213" spans="1:21" x14ac:dyDescent="0.2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4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  <c r="R213" s="6">
        <f t="shared" si="12"/>
        <v>839.34</v>
      </c>
      <c r="S213" t="str">
        <f t="shared" si="13"/>
        <v>January</v>
      </c>
      <c r="T213">
        <f t="shared" si="14"/>
        <v>1</v>
      </c>
      <c r="U213" t="str">
        <f t="shared" si="15"/>
        <v>Wednesday</v>
      </c>
    </row>
    <row r="214" spans="1:21" x14ac:dyDescent="0.2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4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  <c r="R214" s="6">
        <f t="shared" si="12"/>
        <v>461.8</v>
      </c>
      <c r="S214" t="str">
        <f t="shared" si="13"/>
        <v>March</v>
      </c>
      <c r="T214">
        <f t="shared" si="14"/>
        <v>3</v>
      </c>
      <c r="U214" t="str">
        <f t="shared" si="15"/>
        <v>Wednesday</v>
      </c>
    </row>
    <row r="215" spans="1:21" x14ac:dyDescent="0.2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4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  <c r="R215" s="6">
        <f t="shared" si="12"/>
        <v>139.26</v>
      </c>
      <c r="S215" t="str">
        <f t="shared" si="13"/>
        <v>April</v>
      </c>
      <c r="T215">
        <f t="shared" si="14"/>
        <v>4</v>
      </c>
      <c r="U215" t="str">
        <f t="shared" si="15"/>
        <v>Monday</v>
      </c>
    </row>
    <row r="216" spans="1:21" x14ac:dyDescent="0.2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4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  <c r="R216" s="6">
        <f t="shared" si="12"/>
        <v>207.26999999999998</v>
      </c>
      <c r="S216" t="str">
        <f t="shared" si="13"/>
        <v>November</v>
      </c>
      <c r="T216">
        <f t="shared" si="14"/>
        <v>11</v>
      </c>
      <c r="U216" t="str">
        <f t="shared" si="15"/>
        <v>Sunday</v>
      </c>
    </row>
    <row r="217" spans="1:21" x14ac:dyDescent="0.2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4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  <c r="R217" s="6">
        <f t="shared" si="12"/>
        <v>18.28</v>
      </c>
      <c r="S217" t="str">
        <f t="shared" si="13"/>
        <v>March</v>
      </c>
      <c r="T217">
        <f t="shared" si="14"/>
        <v>3</v>
      </c>
      <c r="U217" t="str">
        <f t="shared" si="15"/>
        <v>Friday</v>
      </c>
    </row>
    <row r="218" spans="1:21" x14ac:dyDescent="0.2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4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  <c r="R218" s="6">
        <f t="shared" si="12"/>
        <v>123.85</v>
      </c>
      <c r="S218" t="str">
        <f t="shared" si="13"/>
        <v>March</v>
      </c>
      <c r="T218">
        <f t="shared" si="14"/>
        <v>3</v>
      </c>
      <c r="U218" t="str">
        <f t="shared" si="15"/>
        <v>Sunday</v>
      </c>
    </row>
    <row r="219" spans="1:21" x14ac:dyDescent="0.2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4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  <c r="R219" s="6">
        <f t="shared" si="12"/>
        <v>283.92</v>
      </c>
      <c r="S219" t="str">
        <f t="shared" si="13"/>
        <v>February</v>
      </c>
      <c r="T219">
        <f t="shared" si="14"/>
        <v>2</v>
      </c>
      <c r="U219" t="str">
        <f t="shared" si="15"/>
        <v>Thursday</v>
      </c>
    </row>
    <row r="220" spans="1:21" x14ac:dyDescent="0.2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4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  <c r="R220" s="6">
        <f t="shared" si="12"/>
        <v>758.96</v>
      </c>
      <c r="S220" t="str">
        <f t="shared" si="13"/>
        <v>December</v>
      </c>
      <c r="T220">
        <f t="shared" si="14"/>
        <v>12</v>
      </c>
      <c r="U220" t="str">
        <f t="shared" si="15"/>
        <v>Monday</v>
      </c>
    </row>
    <row r="221" spans="1:21" x14ac:dyDescent="0.2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4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  <c r="R221" s="6">
        <f t="shared" si="12"/>
        <v>172.02</v>
      </c>
      <c r="S221" t="str">
        <f t="shared" si="13"/>
        <v>October</v>
      </c>
      <c r="T221">
        <f t="shared" si="14"/>
        <v>10</v>
      </c>
      <c r="U221" t="str">
        <f t="shared" si="15"/>
        <v>Thursday</v>
      </c>
    </row>
    <row r="222" spans="1:21" x14ac:dyDescent="0.2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4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  <c r="R222" s="6">
        <f t="shared" si="12"/>
        <v>272.10000000000002</v>
      </c>
      <c r="S222" t="str">
        <f t="shared" si="13"/>
        <v>January</v>
      </c>
      <c r="T222">
        <f t="shared" si="14"/>
        <v>1</v>
      </c>
      <c r="U222" t="str">
        <f t="shared" si="15"/>
        <v>Thursday</v>
      </c>
    </row>
    <row r="223" spans="1:21" x14ac:dyDescent="0.2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4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  <c r="R223" s="6">
        <f t="shared" si="12"/>
        <v>434.56</v>
      </c>
      <c r="S223" t="str">
        <f t="shared" si="13"/>
        <v>June</v>
      </c>
      <c r="T223">
        <f t="shared" si="14"/>
        <v>6</v>
      </c>
      <c r="U223" t="str">
        <f t="shared" si="15"/>
        <v>Monday</v>
      </c>
    </row>
    <row r="224" spans="1:21" x14ac:dyDescent="0.2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4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  <c r="R224" s="6">
        <f t="shared" si="12"/>
        <v>59.050000000000004</v>
      </c>
      <c r="S224" t="str">
        <f t="shared" si="13"/>
        <v>February</v>
      </c>
      <c r="T224">
        <f t="shared" si="14"/>
        <v>2</v>
      </c>
      <c r="U224" t="str">
        <f t="shared" si="15"/>
        <v>Sunday</v>
      </c>
    </row>
    <row r="225" spans="1:21" x14ac:dyDescent="0.2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4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  <c r="R225" s="6">
        <f t="shared" si="12"/>
        <v>12.54</v>
      </c>
      <c r="S225" t="str">
        <f t="shared" si="13"/>
        <v>February</v>
      </c>
      <c r="T225">
        <f t="shared" si="14"/>
        <v>2</v>
      </c>
      <c r="U225" t="str">
        <f t="shared" si="15"/>
        <v>Thursday</v>
      </c>
    </row>
    <row r="226" spans="1:21" x14ac:dyDescent="0.2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4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  <c r="R226" s="6">
        <f t="shared" si="12"/>
        <v>86.5</v>
      </c>
      <c r="S226" t="str">
        <f t="shared" si="13"/>
        <v>March</v>
      </c>
      <c r="T226">
        <f t="shared" si="14"/>
        <v>3</v>
      </c>
      <c r="U226" t="str">
        <f t="shared" si="15"/>
        <v>Wednesday</v>
      </c>
    </row>
    <row r="227" spans="1:21" x14ac:dyDescent="0.2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4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  <c r="R227" s="6">
        <f t="shared" si="12"/>
        <v>174.32</v>
      </c>
      <c r="S227" t="str">
        <f t="shared" si="13"/>
        <v>November</v>
      </c>
      <c r="T227">
        <f t="shared" si="14"/>
        <v>11</v>
      </c>
      <c r="U227" t="str">
        <f t="shared" si="15"/>
        <v>Friday</v>
      </c>
    </row>
    <row r="228" spans="1:21" x14ac:dyDescent="0.2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4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  <c r="R228" s="6">
        <f t="shared" si="12"/>
        <v>624.33000000000004</v>
      </c>
      <c r="S228" t="str">
        <f t="shared" si="13"/>
        <v>January</v>
      </c>
      <c r="T228">
        <f t="shared" si="14"/>
        <v>1</v>
      </c>
      <c r="U228" t="str">
        <f t="shared" si="15"/>
        <v>Saturday</v>
      </c>
    </row>
    <row r="229" spans="1:21" x14ac:dyDescent="0.2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4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  <c r="R229" s="6">
        <f t="shared" si="12"/>
        <v>148.24</v>
      </c>
      <c r="S229" t="str">
        <f t="shared" si="13"/>
        <v>January</v>
      </c>
      <c r="T229">
        <f t="shared" si="14"/>
        <v>1</v>
      </c>
      <c r="U229" t="str">
        <f t="shared" si="15"/>
        <v>Thursday</v>
      </c>
    </row>
    <row r="230" spans="1:21" x14ac:dyDescent="0.2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4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  <c r="R230" s="6">
        <f t="shared" si="12"/>
        <v>544.20000000000005</v>
      </c>
      <c r="S230" t="str">
        <f t="shared" si="13"/>
        <v>February</v>
      </c>
      <c r="T230">
        <f t="shared" si="14"/>
        <v>2</v>
      </c>
      <c r="U230" t="str">
        <f t="shared" si="15"/>
        <v>Tuesday</v>
      </c>
    </row>
    <row r="231" spans="1:21" x14ac:dyDescent="0.2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4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  <c r="R231" s="6">
        <f t="shared" si="12"/>
        <v>507.36</v>
      </c>
      <c r="S231" t="str">
        <f t="shared" si="13"/>
        <v>November</v>
      </c>
      <c r="T231">
        <f t="shared" si="14"/>
        <v>11</v>
      </c>
      <c r="U231" t="str">
        <f t="shared" si="15"/>
        <v>Sunday</v>
      </c>
    </row>
    <row r="232" spans="1:21" x14ac:dyDescent="0.2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4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  <c r="R232" s="6">
        <f t="shared" si="12"/>
        <v>162.74</v>
      </c>
      <c r="S232" t="str">
        <f t="shared" si="13"/>
        <v>January</v>
      </c>
      <c r="T232">
        <f t="shared" si="14"/>
        <v>1</v>
      </c>
      <c r="U232" t="str">
        <f t="shared" si="15"/>
        <v>Saturday</v>
      </c>
    </row>
    <row r="233" spans="1:21" x14ac:dyDescent="0.2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4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  <c r="R233" s="6">
        <f t="shared" si="12"/>
        <v>31.77</v>
      </c>
      <c r="S233" t="str">
        <f t="shared" si="13"/>
        <v>December</v>
      </c>
      <c r="T233">
        <f t="shared" si="14"/>
        <v>12</v>
      </c>
      <c r="U233" t="str">
        <f t="shared" si="15"/>
        <v>Tuesday</v>
      </c>
    </row>
    <row r="234" spans="1:21" x14ac:dyDescent="0.2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4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  <c r="R234" s="6">
        <f t="shared" si="12"/>
        <v>756.81000000000006</v>
      </c>
      <c r="S234" t="str">
        <f t="shared" si="13"/>
        <v>November</v>
      </c>
      <c r="T234">
        <f t="shared" si="14"/>
        <v>11</v>
      </c>
      <c r="U234" t="str">
        <f t="shared" si="15"/>
        <v>Saturday</v>
      </c>
    </row>
    <row r="235" spans="1:21" x14ac:dyDescent="0.2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4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  <c r="R235" s="6">
        <f t="shared" si="12"/>
        <v>295.27999999999997</v>
      </c>
      <c r="S235" t="str">
        <f t="shared" si="13"/>
        <v>February</v>
      </c>
      <c r="T235">
        <f t="shared" si="14"/>
        <v>2</v>
      </c>
      <c r="U235" t="str">
        <f t="shared" si="15"/>
        <v>Thursday</v>
      </c>
    </row>
    <row r="236" spans="1:21" x14ac:dyDescent="0.2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4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  <c r="R236" s="6">
        <f t="shared" si="12"/>
        <v>519.4</v>
      </c>
      <c r="S236" t="str">
        <f t="shared" si="13"/>
        <v>September</v>
      </c>
      <c r="T236">
        <f t="shared" si="14"/>
        <v>9</v>
      </c>
      <c r="U236" t="str">
        <f t="shared" si="15"/>
        <v>Tuesday</v>
      </c>
    </row>
    <row r="237" spans="1:21" x14ac:dyDescent="0.2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4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  <c r="R237" s="6">
        <f t="shared" si="12"/>
        <v>186.28</v>
      </c>
      <c r="S237" t="str">
        <f t="shared" si="13"/>
        <v>January</v>
      </c>
      <c r="T237">
        <f t="shared" si="14"/>
        <v>1</v>
      </c>
      <c r="U237" t="str">
        <f t="shared" si="15"/>
        <v>Sunday</v>
      </c>
    </row>
    <row r="238" spans="1:21" x14ac:dyDescent="0.2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43524</v>
      </c>
      <c r="L238" s="4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  <c r="R238" s="6">
        <f t="shared" si="12"/>
        <v>87.05</v>
      </c>
      <c r="S238" t="str">
        <f t="shared" si="13"/>
        <v>February</v>
      </c>
      <c r="T238">
        <f t="shared" si="14"/>
        <v>2</v>
      </c>
      <c r="U238" t="str">
        <f t="shared" si="15"/>
        <v>Thursday</v>
      </c>
    </row>
    <row r="239" spans="1:21" x14ac:dyDescent="0.2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4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  <c r="R239" s="6">
        <f t="shared" si="12"/>
        <v>221.1</v>
      </c>
      <c r="S239" t="str">
        <f t="shared" si="13"/>
        <v>May</v>
      </c>
      <c r="T239">
        <f t="shared" si="14"/>
        <v>5</v>
      </c>
      <c r="U239" t="str">
        <f t="shared" si="15"/>
        <v>Friday</v>
      </c>
    </row>
    <row r="240" spans="1:21" x14ac:dyDescent="0.2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4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  <c r="R240" s="6">
        <f t="shared" si="12"/>
        <v>66.100000000000009</v>
      </c>
      <c r="S240" t="str">
        <f t="shared" si="13"/>
        <v>February</v>
      </c>
      <c r="T240">
        <f t="shared" si="14"/>
        <v>2</v>
      </c>
      <c r="U240" t="str">
        <f t="shared" si="15"/>
        <v>Sunday</v>
      </c>
    </row>
    <row r="241" spans="1:21" x14ac:dyDescent="0.2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4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  <c r="R241" s="6">
        <f t="shared" si="12"/>
        <v>89.69</v>
      </c>
      <c r="S241" t="str">
        <f t="shared" si="13"/>
        <v>November</v>
      </c>
      <c r="T241">
        <f t="shared" si="14"/>
        <v>11</v>
      </c>
      <c r="U241" t="str">
        <f t="shared" si="15"/>
        <v>Friday</v>
      </c>
    </row>
    <row r="242" spans="1:21" x14ac:dyDescent="0.2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4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  <c r="R242" s="6">
        <f t="shared" si="12"/>
        <v>224.46</v>
      </c>
      <c r="S242" t="str">
        <f t="shared" si="13"/>
        <v>November</v>
      </c>
      <c r="T242">
        <f t="shared" si="14"/>
        <v>11</v>
      </c>
      <c r="U242" t="str">
        <f t="shared" si="15"/>
        <v>Friday</v>
      </c>
    </row>
    <row r="243" spans="1:21" x14ac:dyDescent="0.2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4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  <c r="R243" s="6">
        <f t="shared" si="12"/>
        <v>119.54</v>
      </c>
      <c r="S243" t="str">
        <f t="shared" si="13"/>
        <v>November</v>
      </c>
      <c r="T243">
        <f t="shared" si="14"/>
        <v>11</v>
      </c>
      <c r="U243" t="str">
        <f t="shared" si="15"/>
        <v>Sunday</v>
      </c>
    </row>
    <row r="244" spans="1:21" x14ac:dyDescent="0.2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4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  <c r="R244" s="6">
        <f t="shared" si="12"/>
        <v>186.4</v>
      </c>
      <c r="S244" t="str">
        <f t="shared" si="13"/>
        <v>February</v>
      </c>
      <c r="T244">
        <f t="shared" si="14"/>
        <v>2</v>
      </c>
      <c r="U244" t="str">
        <f t="shared" si="15"/>
        <v>Thursday</v>
      </c>
    </row>
    <row r="245" spans="1:21" x14ac:dyDescent="0.2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4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  <c r="R245" s="6">
        <f t="shared" si="12"/>
        <v>250.6</v>
      </c>
      <c r="S245" t="str">
        <f t="shared" si="13"/>
        <v>May</v>
      </c>
      <c r="T245">
        <f t="shared" si="14"/>
        <v>5</v>
      </c>
      <c r="U245" t="str">
        <f t="shared" si="15"/>
        <v>Wednesday</v>
      </c>
    </row>
    <row r="246" spans="1:21" x14ac:dyDescent="0.2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4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  <c r="R246" s="6">
        <f t="shared" si="12"/>
        <v>750.96</v>
      </c>
      <c r="S246" t="str">
        <f t="shared" si="13"/>
        <v>February</v>
      </c>
      <c r="T246">
        <f t="shared" si="14"/>
        <v>2</v>
      </c>
      <c r="U246" t="str">
        <f t="shared" si="15"/>
        <v>Saturday</v>
      </c>
    </row>
    <row r="247" spans="1:21" x14ac:dyDescent="0.2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4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  <c r="R247" s="6">
        <f t="shared" si="12"/>
        <v>380.72</v>
      </c>
      <c r="S247" t="str">
        <f t="shared" si="13"/>
        <v>January</v>
      </c>
      <c r="T247">
        <f t="shared" si="14"/>
        <v>1</v>
      </c>
      <c r="U247" t="str">
        <f t="shared" si="15"/>
        <v>Tuesday</v>
      </c>
    </row>
    <row r="248" spans="1:21" x14ac:dyDescent="0.2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4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  <c r="R248" s="6">
        <f t="shared" si="12"/>
        <v>244.20000000000002</v>
      </c>
      <c r="S248" t="str">
        <f t="shared" si="13"/>
        <v>September</v>
      </c>
      <c r="T248">
        <f t="shared" si="14"/>
        <v>9</v>
      </c>
      <c r="U248" t="str">
        <f t="shared" si="15"/>
        <v>Monday</v>
      </c>
    </row>
    <row r="249" spans="1:21" x14ac:dyDescent="0.2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4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  <c r="R249" s="6">
        <f t="shared" si="12"/>
        <v>89.7</v>
      </c>
      <c r="S249" t="str">
        <f t="shared" si="13"/>
        <v>January</v>
      </c>
      <c r="T249">
        <f t="shared" si="14"/>
        <v>1</v>
      </c>
      <c r="U249" t="str">
        <f t="shared" si="15"/>
        <v>Wednesday</v>
      </c>
    </row>
    <row r="250" spans="1:21" x14ac:dyDescent="0.2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4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  <c r="R250" s="6">
        <f t="shared" si="12"/>
        <v>310.88</v>
      </c>
      <c r="S250" t="str">
        <f t="shared" si="13"/>
        <v>July</v>
      </c>
      <c r="T250">
        <f t="shared" si="14"/>
        <v>7</v>
      </c>
      <c r="U250" t="str">
        <f t="shared" si="15"/>
        <v>Monday</v>
      </c>
    </row>
    <row r="251" spans="1:21" x14ac:dyDescent="0.2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4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  <c r="R251" s="6">
        <f t="shared" si="12"/>
        <v>511.42</v>
      </c>
      <c r="S251" t="str">
        <f t="shared" si="13"/>
        <v>January</v>
      </c>
      <c r="T251">
        <f t="shared" si="14"/>
        <v>1</v>
      </c>
      <c r="U251" t="str">
        <f t="shared" si="15"/>
        <v>Monday</v>
      </c>
    </row>
    <row r="252" spans="1:21" x14ac:dyDescent="0.2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4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  <c r="R252" s="6">
        <f t="shared" si="12"/>
        <v>418.95</v>
      </c>
      <c r="S252" t="str">
        <f t="shared" si="13"/>
        <v>February</v>
      </c>
      <c r="T252">
        <f t="shared" si="14"/>
        <v>2</v>
      </c>
      <c r="U252" t="str">
        <f t="shared" si="15"/>
        <v>Saturday</v>
      </c>
    </row>
    <row r="253" spans="1:21" x14ac:dyDescent="0.2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4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  <c r="R253" s="6">
        <f t="shared" si="12"/>
        <v>351.9</v>
      </c>
      <c r="S253" t="str">
        <f t="shared" si="13"/>
        <v>March</v>
      </c>
      <c r="T253">
        <f t="shared" si="14"/>
        <v>3</v>
      </c>
      <c r="U253" t="str">
        <f t="shared" si="15"/>
        <v>Sunday</v>
      </c>
    </row>
    <row r="254" spans="1:21" x14ac:dyDescent="0.2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4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  <c r="R254" s="6">
        <f t="shared" si="12"/>
        <v>28.78</v>
      </c>
      <c r="S254" t="str">
        <f t="shared" si="13"/>
        <v>February</v>
      </c>
      <c r="T254">
        <f t="shared" si="14"/>
        <v>2</v>
      </c>
      <c r="U254" t="str">
        <f t="shared" si="15"/>
        <v>Sunday</v>
      </c>
    </row>
    <row r="255" spans="1:21" x14ac:dyDescent="0.2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4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  <c r="R255" s="6">
        <f t="shared" si="12"/>
        <v>95</v>
      </c>
      <c r="S255" t="str">
        <f t="shared" si="13"/>
        <v>March</v>
      </c>
      <c r="T255">
        <f t="shared" si="14"/>
        <v>3</v>
      </c>
      <c r="U255" t="str">
        <f t="shared" si="15"/>
        <v>Saturday</v>
      </c>
    </row>
    <row r="256" spans="1:21" x14ac:dyDescent="0.2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4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  <c r="R256" s="6">
        <f t="shared" si="12"/>
        <v>471.2</v>
      </c>
      <c r="S256" t="str">
        <f t="shared" si="13"/>
        <v>June</v>
      </c>
      <c r="T256">
        <f t="shared" si="14"/>
        <v>6</v>
      </c>
      <c r="U256" t="str">
        <f t="shared" si="15"/>
        <v>Saturday</v>
      </c>
    </row>
    <row r="257" spans="1:21" x14ac:dyDescent="0.2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4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  <c r="R257" s="6">
        <f t="shared" si="12"/>
        <v>130.47999999999999</v>
      </c>
      <c r="S257" t="str">
        <f t="shared" si="13"/>
        <v>January</v>
      </c>
      <c r="T257">
        <f t="shared" si="14"/>
        <v>1</v>
      </c>
      <c r="U257" t="str">
        <f t="shared" si="15"/>
        <v>Tuesday</v>
      </c>
    </row>
    <row r="258" spans="1:21" x14ac:dyDescent="0.2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4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  <c r="R258" s="6">
        <f t="shared" si="12"/>
        <v>66.349999999999994</v>
      </c>
      <c r="S258" t="str">
        <f t="shared" si="13"/>
        <v>January</v>
      </c>
      <c r="T258">
        <f t="shared" si="14"/>
        <v>1</v>
      </c>
      <c r="U258" t="str">
        <f t="shared" si="15"/>
        <v>Thursday</v>
      </c>
    </row>
    <row r="259" spans="1:21" x14ac:dyDescent="0.2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4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  <c r="R259" s="6">
        <f t="shared" ref="R259:R322" si="16">H259*G259</f>
        <v>155.46</v>
      </c>
      <c r="S259" t="str">
        <f t="shared" ref="S259:S322" si="17">TEXT(K259,"mmmm")</f>
        <v>May</v>
      </c>
      <c r="T259">
        <f t="shared" ref="T259:T322" si="18">MONTH(K259)</f>
        <v>5</v>
      </c>
      <c r="U259" t="str">
        <f t="shared" ref="U259:U322" si="19">TEXT(K259,"dddd")</f>
        <v>Thursday</v>
      </c>
    </row>
    <row r="260" spans="1:21" x14ac:dyDescent="0.2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4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  <c r="R260" s="6">
        <f t="shared" si="16"/>
        <v>129</v>
      </c>
      <c r="S260" t="str">
        <f t="shared" si="17"/>
        <v>February</v>
      </c>
      <c r="T260">
        <f t="shared" si="18"/>
        <v>2</v>
      </c>
      <c r="U260" t="str">
        <f t="shared" si="19"/>
        <v>Wednesday</v>
      </c>
    </row>
    <row r="261" spans="1:21" x14ac:dyDescent="0.2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4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  <c r="R261" s="6">
        <f t="shared" si="16"/>
        <v>263.76</v>
      </c>
      <c r="S261" t="str">
        <f t="shared" si="17"/>
        <v>July</v>
      </c>
      <c r="T261">
        <f t="shared" si="18"/>
        <v>7</v>
      </c>
      <c r="U261" t="str">
        <f t="shared" si="19"/>
        <v>Tuesday</v>
      </c>
    </row>
    <row r="262" spans="1:21" x14ac:dyDescent="0.2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4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  <c r="R262" s="6">
        <f t="shared" si="16"/>
        <v>675.54</v>
      </c>
      <c r="S262" t="str">
        <f t="shared" si="17"/>
        <v>March</v>
      </c>
      <c r="T262">
        <f t="shared" si="18"/>
        <v>3</v>
      </c>
      <c r="U262" t="str">
        <f t="shared" si="19"/>
        <v>Tuesday</v>
      </c>
    </row>
    <row r="263" spans="1:21" x14ac:dyDescent="0.2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4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  <c r="R263" s="6">
        <f t="shared" si="16"/>
        <v>65.8</v>
      </c>
      <c r="S263" t="str">
        <f t="shared" si="17"/>
        <v>July</v>
      </c>
      <c r="T263">
        <f t="shared" si="18"/>
        <v>7</v>
      </c>
      <c r="U263" t="str">
        <f t="shared" si="19"/>
        <v>Wednesday</v>
      </c>
    </row>
    <row r="264" spans="1:21" x14ac:dyDescent="0.2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4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  <c r="R264" s="6">
        <f t="shared" si="16"/>
        <v>153.19999999999999</v>
      </c>
      <c r="S264" t="str">
        <f t="shared" si="17"/>
        <v>March</v>
      </c>
      <c r="T264">
        <f t="shared" si="18"/>
        <v>3</v>
      </c>
      <c r="U264" t="str">
        <f t="shared" si="19"/>
        <v>Wednesday</v>
      </c>
    </row>
    <row r="265" spans="1:21" x14ac:dyDescent="0.2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4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  <c r="R265" s="6">
        <f t="shared" si="16"/>
        <v>222.39999999999998</v>
      </c>
      <c r="S265" t="str">
        <f t="shared" si="17"/>
        <v>September</v>
      </c>
      <c r="T265">
        <f t="shared" si="18"/>
        <v>9</v>
      </c>
      <c r="U265" t="str">
        <f t="shared" si="19"/>
        <v>Monday</v>
      </c>
    </row>
    <row r="266" spans="1:21" x14ac:dyDescent="0.2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4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  <c r="R266" s="6">
        <f t="shared" si="16"/>
        <v>54.45</v>
      </c>
      <c r="S266" t="str">
        <f t="shared" si="17"/>
        <v>February</v>
      </c>
      <c r="T266">
        <f t="shared" si="18"/>
        <v>2</v>
      </c>
      <c r="U266" t="str">
        <f t="shared" si="19"/>
        <v>Tuesday</v>
      </c>
    </row>
    <row r="267" spans="1:21" x14ac:dyDescent="0.2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4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  <c r="R267" s="6">
        <f t="shared" si="16"/>
        <v>688.80000000000007</v>
      </c>
      <c r="S267" t="str">
        <f t="shared" si="17"/>
        <v>December</v>
      </c>
      <c r="T267">
        <f t="shared" si="18"/>
        <v>12</v>
      </c>
      <c r="U267" t="str">
        <f t="shared" si="19"/>
        <v>Tuesday</v>
      </c>
    </row>
    <row r="268" spans="1:21" x14ac:dyDescent="0.2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4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  <c r="R268" s="6">
        <f t="shared" si="16"/>
        <v>141.88</v>
      </c>
      <c r="S268" t="str">
        <f t="shared" si="17"/>
        <v>March</v>
      </c>
      <c r="T268">
        <f t="shared" si="18"/>
        <v>3</v>
      </c>
      <c r="U268" t="str">
        <f t="shared" si="19"/>
        <v>Thursday</v>
      </c>
    </row>
    <row r="269" spans="1:21" x14ac:dyDescent="0.2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4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  <c r="R269" s="6">
        <f t="shared" si="16"/>
        <v>746</v>
      </c>
      <c r="S269" t="str">
        <f t="shared" si="17"/>
        <v>August</v>
      </c>
      <c r="T269">
        <f t="shared" si="18"/>
        <v>8</v>
      </c>
      <c r="U269" t="str">
        <f t="shared" si="19"/>
        <v>Thursday</v>
      </c>
    </row>
    <row r="270" spans="1:21" x14ac:dyDescent="0.2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4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  <c r="R270" s="6">
        <f t="shared" si="16"/>
        <v>282.95999999999998</v>
      </c>
      <c r="S270" t="str">
        <f t="shared" si="17"/>
        <v>May</v>
      </c>
      <c r="T270">
        <f t="shared" si="18"/>
        <v>5</v>
      </c>
      <c r="U270" t="str">
        <f t="shared" si="19"/>
        <v>Wednesday</v>
      </c>
    </row>
    <row r="271" spans="1:21" x14ac:dyDescent="0.2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4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  <c r="R271" s="6">
        <f t="shared" si="16"/>
        <v>355.4</v>
      </c>
      <c r="S271" t="str">
        <f t="shared" si="17"/>
        <v>April</v>
      </c>
      <c r="T271">
        <f t="shared" si="18"/>
        <v>4</v>
      </c>
      <c r="U271" t="str">
        <f t="shared" si="19"/>
        <v>Monday</v>
      </c>
    </row>
    <row r="272" spans="1:21" x14ac:dyDescent="0.2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4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  <c r="R272" s="6">
        <f t="shared" si="16"/>
        <v>337.15000000000003</v>
      </c>
      <c r="S272" t="str">
        <f t="shared" si="17"/>
        <v>June</v>
      </c>
      <c r="T272">
        <f t="shared" si="18"/>
        <v>6</v>
      </c>
      <c r="U272" t="str">
        <f t="shared" si="19"/>
        <v>Monday</v>
      </c>
    </row>
    <row r="273" spans="1:21" x14ac:dyDescent="0.2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4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  <c r="R273" s="6">
        <f t="shared" si="16"/>
        <v>42.24</v>
      </c>
      <c r="S273" t="str">
        <f t="shared" si="17"/>
        <v>March</v>
      </c>
      <c r="T273">
        <f t="shared" si="18"/>
        <v>3</v>
      </c>
      <c r="U273" t="str">
        <f t="shared" si="19"/>
        <v>Friday</v>
      </c>
    </row>
    <row r="274" spans="1:21" x14ac:dyDescent="0.2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4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  <c r="R274" s="6">
        <f t="shared" si="16"/>
        <v>193.85999999999999</v>
      </c>
      <c r="S274" t="str">
        <f t="shared" si="17"/>
        <v>July</v>
      </c>
      <c r="T274">
        <f t="shared" si="18"/>
        <v>7</v>
      </c>
      <c r="U274" t="str">
        <f t="shared" si="19"/>
        <v>Monday</v>
      </c>
    </row>
    <row r="275" spans="1:21" x14ac:dyDescent="0.2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4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  <c r="R275" s="6">
        <f t="shared" si="16"/>
        <v>24.06</v>
      </c>
      <c r="S275" t="str">
        <f t="shared" si="17"/>
        <v>January</v>
      </c>
      <c r="T275">
        <f t="shared" si="18"/>
        <v>1</v>
      </c>
      <c r="U275" t="str">
        <f t="shared" si="19"/>
        <v>Sunday</v>
      </c>
    </row>
    <row r="276" spans="1:21" x14ac:dyDescent="0.2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4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  <c r="R276" s="6">
        <f t="shared" si="16"/>
        <v>598.26</v>
      </c>
      <c r="S276" t="str">
        <f t="shared" si="17"/>
        <v>February</v>
      </c>
      <c r="T276">
        <f t="shared" si="18"/>
        <v>2</v>
      </c>
      <c r="U276" t="str">
        <f t="shared" si="19"/>
        <v>Tuesday</v>
      </c>
    </row>
    <row r="277" spans="1:21" x14ac:dyDescent="0.2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4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  <c r="R277" s="6">
        <f t="shared" si="16"/>
        <v>335.78999999999996</v>
      </c>
      <c r="S277" t="str">
        <f t="shared" si="17"/>
        <v>July</v>
      </c>
      <c r="T277">
        <f t="shared" si="18"/>
        <v>7</v>
      </c>
      <c r="U277" t="str">
        <f t="shared" si="19"/>
        <v>Monday</v>
      </c>
    </row>
    <row r="278" spans="1:21" x14ac:dyDescent="0.2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4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  <c r="R278" s="6">
        <f t="shared" si="16"/>
        <v>218.2</v>
      </c>
      <c r="S278" t="str">
        <f t="shared" si="17"/>
        <v>July</v>
      </c>
      <c r="T278">
        <f t="shared" si="18"/>
        <v>7</v>
      </c>
      <c r="U278" t="str">
        <f t="shared" si="19"/>
        <v>Monday</v>
      </c>
    </row>
    <row r="279" spans="1:21" x14ac:dyDescent="0.2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4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  <c r="R279" s="6">
        <f t="shared" si="16"/>
        <v>381.68</v>
      </c>
      <c r="S279" t="str">
        <f t="shared" si="17"/>
        <v>February</v>
      </c>
      <c r="T279">
        <f t="shared" si="18"/>
        <v>2</v>
      </c>
      <c r="U279" t="str">
        <f t="shared" si="19"/>
        <v>Saturday</v>
      </c>
    </row>
    <row r="280" spans="1:21" x14ac:dyDescent="0.2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4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  <c r="R280" s="6">
        <f t="shared" si="16"/>
        <v>709.9</v>
      </c>
      <c r="S280" t="str">
        <f t="shared" si="17"/>
        <v>March</v>
      </c>
      <c r="T280">
        <f t="shared" si="18"/>
        <v>3</v>
      </c>
      <c r="U280" t="str">
        <f t="shared" si="19"/>
        <v>Wednesday</v>
      </c>
    </row>
    <row r="281" spans="1:21" x14ac:dyDescent="0.2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4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  <c r="R281" s="6">
        <f t="shared" si="16"/>
        <v>440.20000000000005</v>
      </c>
      <c r="S281" t="str">
        <f t="shared" si="17"/>
        <v>March</v>
      </c>
      <c r="T281">
        <f t="shared" si="18"/>
        <v>3</v>
      </c>
      <c r="U281" t="str">
        <f t="shared" si="19"/>
        <v>Wednesday</v>
      </c>
    </row>
    <row r="282" spans="1:21" x14ac:dyDescent="0.2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4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  <c r="R282" s="6">
        <f t="shared" si="16"/>
        <v>559.67999999999995</v>
      </c>
      <c r="S282" t="str">
        <f t="shared" si="17"/>
        <v>February</v>
      </c>
      <c r="T282">
        <f t="shared" si="18"/>
        <v>2</v>
      </c>
      <c r="U282" t="str">
        <f t="shared" si="19"/>
        <v>Friday</v>
      </c>
    </row>
    <row r="283" spans="1:21" x14ac:dyDescent="0.2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4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  <c r="R283" s="6">
        <f t="shared" si="16"/>
        <v>37</v>
      </c>
      <c r="S283" t="str">
        <f t="shared" si="17"/>
        <v>June</v>
      </c>
      <c r="T283">
        <f t="shared" si="18"/>
        <v>6</v>
      </c>
      <c r="U283" t="str">
        <f t="shared" si="19"/>
        <v>Monday</v>
      </c>
    </row>
    <row r="284" spans="1:21" x14ac:dyDescent="0.2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4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  <c r="R284" s="6">
        <f t="shared" si="16"/>
        <v>15.34</v>
      </c>
      <c r="S284" t="str">
        <f t="shared" si="17"/>
        <v>June</v>
      </c>
      <c r="T284">
        <f t="shared" si="18"/>
        <v>6</v>
      </c>
      <c r="U284" t="str">
        <f t="shared" si="19"/>
        <v>Saturday</v>
      </c>
    </row>
    <row r="285" spans="1:21" x14ac:dyDescent="0.2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4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  <c r="R285" s="6">
        <f t="shared" si="16"/>
        <v>598.98</v>
      </c>
      <c r="S285" t="str">
        <f t="shared" si="17"/>
        <v>April</v>
      </c>
      <c r="T285">
        <f t="shared" si="18"/>
        <v>4</v>
      </c>
      <c r="U285" t="str">
        <f t="shared" si="19"/>
        <v>Wednesday</v>
      </c>
    </row>
    <row r="286" spans="1:21" x14ac:dyDescent="0.2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4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  <c r="R286" s="6">
        <f t="shared" si="16"/>
        <v>190.68</v>
      </c>
      <c r="S286" t="str">
        <f t="shared" si="17"/>
        <v>December</v>
      </c>
      <c r="T286">
        <f t="shared" si="18"/>
        <v>12</v>
      </c>
      <c r="U286" t="str">
        <f t="shared" si="19"/>
        <v>Tuesday</v>
      </c>
    </row>
    <row r="287" spans="1:21" x14ac:dyDescent="0.2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4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  <c r="R287" s="6">
        <f t="shared" si="16"/>
        <v>333.40000000000003</v>
      </c>
      <c r="S287" t="str">
        <f t="shared" si="17"/>
        <v>February</v>
      </c>
      <c r="T287">
        <f t="shared" si="18"/>
        <v>2</v>
      </c>
      <c r="U287" t="str">
        <f t="shared" si="19"/>
        <v>Wednesday</v>
      </c>
    </row>
    <row r="288" spans="1:21" x14ac:dyDescent="0.2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4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  <c r="R288" s="6">
        <f t="shared" si="16"/>
        <v>74.86</v>
      </c>
      <c r="S288" t="str">
        <f t="shared" si="17"/>
        <v>March</v>
      </c>
      <c r="T288">
        <f t="shared" si="18"/>
        <v>3</v>
      </c>
      <c r="U288" t="str">
        <f t="shared" si="19"/>
        <v>Sunday</v>
      </c>
    </row>
    <row r="289" spans="1:21" x14ac:dyDescent="0.2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4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  <c r="R289" s="6">
        <f t="shared" si="16"/>
        <v>213.75</v>
      </c>
      <c r="S289" t="str">
        <f t="shared" si="17"/>
        <v>January</v>
      </c>
      <c r="T289">
        <f t="shared" si="18"/>
        <v>1</v>
      </c>
      <c r="U289" t="str">
        <f t="shared" si="19"/>
        <v>Thursday</v>
      </c>
    </row>
    <row r="290" spans="1:21" x14ac:dyDescent="0.2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4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  <c r="R290" s="6">
        <f t="shared" si="16"/>
        <v>339.57</v>
      </c>
      <c r="S290" t="str">
        <f t="shared" si="17"/>
        <v>January</v>
      </c>
      <c r="T290">
        <f t="shared" si="18"/>
        <v>1</v>
      </c>
      <c r="U290" t="str">
        <f t="shared" si="19"/>
        <v>Friday</v>
      </c>
    </row>
    <row r="291" spans="1:21" x14ac:dyDescent="0.2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4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  <c r="R291" s="6">
        <f t="shared" si="16"/>
        <v>664.16</v>
      </c>
      <c r="S291" t="str">
        <f t="shared" si="17"/>
        <v>March</v>
      </c>
      <c r="T291">
        <f t="shared" si="18"/>
        <v>3</v>
      </c>
      <c r="U291" t="str">
        <f t="shared" si="19"/>
        <v>Saturday</v>
      </c>
    </row>
    <row r="292" spans="1:21" x14ac:dyDescent="0.2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4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  <c r="R292" s="6">
        <f t="shared" si="16"/>
        <v>403</v>
      </c>
      <c r="S292" t="str">
        <f t="shared" si="17"/>
        <v>January</v>
      </c>
      <c r="T292">
        <f t="shared" si="18"/>
        <v>1</v>
      </c>
      <c r="U292" t="str">
        <f t="shared" si="19"/>
        <v>Thursday</v>
      </c>
    </row>
    <row r="293" spans="1:21" x14ac:dyDescent="0.2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4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  <c r="R293" s="6">
        <f t="shared" si="16"/>
        <v>194.95000000000002</v>
      </c>
      <c r="S293" t="str">
        <f t="shared" si="17"/>
        <v>March</v>
      </c>
      <c r="T293">
        <f t="shared" si="18"/>
        <v>3</v>
      </c>
      <c r="U293" t="str">
        <f t="shared" si="19"/>
        <v>Thursday</v>
      </c>
    </row>
    <row r="294" spans="1:21" x14ac:dyDescent="0.2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4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  <c r="R294" s="6">
        <f t="shared" si="16"/>
        <v>62.48</v>
      </c>
      <c r="S294" t="str">
        <f t="shared" si="17"/>
        <v>February</v>
      </c>
      <c r="T294">
        <f t="shared" si="18"/>
        <v>2</v>
      </c>
      <c r="U294" t="str">
        <f t="shared" si="19"/>
        <v>Monday</v>
      </c>
    </row>
    <row r="295" spans="1:21" x14ac:dyDescent="0.2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4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  <c r="R295" s="6">
        <f t="shared" si="16"/>
        <v>72.72</v>
      </c>
      <c r="S295" t="str">
        <f t="shared" si="17"/>
        <v>January</v>
      </c>
      <c r="T295">
        <f t="shared" si="18"/>
        <v>1</v>
      </c>
      <c r="U295" t="str">
        <f t="shared" si="19"/>
        <v>Monday</v>
      </c>
    </row>
    <row r="296" spans="1:21" x14ac:dyDescent="0.2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4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  <c r="R296" s="6">
        <f t="shared" si="16"/>
        <v>181.1</v>
      </c>
      <c r="S296" t="str">
        <f t="shared" si="17"/>
        <v>March</v>
      </c>
      <c r="T296">
        <f t="shared" si="18"/>
        <v>3</v>
      </c>
      <c r="U296" t="str">
        <f t="shared" si="19"/>
        <v>Wednesday</v>
      </c>
    </row>
    <row r="297" spans="1:21" x14ac:dyDescent="0.2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4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  <c r="R297" s="6">
        <f t="shared" si="16"/>
        <v>259.60000000000002</v>
      </c>
      <c r="S297" t="str">
        <f t="shared" si="17"/>
        <v>March</v>
      </c>
      <c r="T297">
        <f t="shared" si="18"/>
        <v>3</v>
      </c>
      <c r="U297" t="str">
        <f t="shared" si="19"/>
        <v>Sunday</v>
      </c>
    </row>
    <row r="298" spans="1:21" x14ac:dyDescent="0.2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4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  <c r="R298" s="6">
        <f t="shared" si="16"/>
        <v>115.36</v>
      </c>
      <c r="S298" t="str">
        <f t="shared" si="17"/>
        <v>March</v>
      </c>
      <c r="T298">
        <f t="shared" si="18"/>
        <v>3</v>
      </c>
      <c r="U298" t="str">
        <f t="shared" si="19"/>
        <v>Friday</v>
      </c>
    </row>
    <row r="299" spans="1:21" x14ac:dyDescent="0.2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4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  <c r="R299" s="6">
        <f t="shared" si="16"/>
        <v>470.28</v>
      </c>
      <c r="S299" t="str">
        <f t="shared" si="17"/>
        <v>October</v>
      </c>
      <c r="T299">
        <f t="shared" si="18"/>
        <v>10</v>
      </c>
      <c r="U299" t="str">
        <f t="shared" si="19"/>
        <v>Tuesday</v>
      </c>
    </row>
    <row r="300" spans="1:21" x14ac:dyDescent="0.2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4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  <c r="R300" s="6">
        <f t="shared" si="16"/>
        <v>240.04</v>
      </c>
      <c r="S300" t="str">
        <f t="shared" si="17"/>
        <v>January</v>
      </c>
      <c r="T300">
        <f t="shared" si="18"/>
        <v>1</v>
      </c>
      <c r="U300" t="str">
        <f t="shared" si="19"/>
        <v>Friday</v>
      </c>
    </row>
    <row r="301" spans="1:21" x14ac:dyDescent="0.2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4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  <c r="R301" s="6">
        <f t="shared" si="16"/>
        <v>88.61</v>
      </c>
      <c r="S301" t="str">
        <f t="shared" si="17"/>
        <v>January</v>
      </c>
      <c r="T301">
        <f t="shared" si="18"/>
        <v>1</v>
      </c>
      <c r="U301" t="str">
        <f t="shared" si="19"/>
        <v>Saturday</v>
      </c>
    </row>
    <row r="302" spans="1:21" x14ac:dyDescent="0.2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4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  <c r="R302" s="6">
        <f t="shared" si="16"/>
        <v>199.64</v>
      </c>
      <c r="S302" t="str">
        <f t="shared" si="17"/>
        <v>February</v>
      </c>
      <c r="T302">
        <f t="shared" si="18"/>
        <v>2</v>
      </c>
      <c r="U302" t="str">
        <f t="shared" si="19"/>
        <v>Friday</v>
      </c>
    </row>
    <row r="303" spans="1:21" x14ac:dyDescent="0.2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4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  <c r="R303" s="6">
        <f t="shared" si="16"/>
        <v>39.01</v>
      </c>
      <c r="S303" t="str">
        <f t="shared" si="17"/>
        <v>December</v>
      </c>
      <c r="T303">
        <f t="shared" si="18"/>
        <v>12</v>
      </c>
      <c r="U303" t="str">
        <f t="shared" si="19"/>
        <v>Tuesday</v>
      </c>
    </row>
    <row r="304" spans="1:21" x14ac:dyDescent="0.2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4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  <c r="R304" s="6">
        <f t="shared" si="16"/>
        <v>48.61</v>
      </c>
      <c r="S304" t="str">
        <f t="shared" si="17"/>
        <v>February</v>
      </c>
      <c r="T304">
        <f t="shared" si="18"/>
        <v>2</v>
      </c>
      <c r="U304" t="str">
        <f t="shared" si="19"/>
        <v>Monday</v>
      </c>
    </row>
    <row r="305" spans="1:21" x14ac:dyDescent="0.2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4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  <c r="R305" s="6">
        <f t="shared" si="16"/>
        <v>204.76</v>
      </c>
      <c r="S305" t="str">
        <f t="shared" si="17"/>
        <v>March</v>
      </c>
      <c r="T305">
        <f t="shared" si="18"/>
        <v>3</v>
      </c>
      <c r="U305" t="str">
        <f t="shared" si="19"/>
        <v>Monday</v>
      </c>
    </row>
    <row r="306" spans="1:21" x14ac:dyDescent="0.2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4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  <c r="R306" s="6">
        <f t="shared" si="16"/>
        <v>119.68</v>
      </c>
      <c r="S306" t="str">
        <f t="shared" si="17"/>
        <v>February</v>
      </c>
      <c r="T306">
        <f t="shared" si="18"/>
        <v>2</v>
      </c>
      <c r="U306" t="str">
        <f t="shared" si="19"/>
        <v>Saturday</v>
      </c>
    </row>
    <row r="307" spans="1:21" x14ac:dyDescent="0.2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4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  <c r="R307" s="6">
        <f t="shared" si="16"/>
        <v>505.40000000000003</v>
      </c>
      <c r="S307" t="str">
        <f t="shared" si="17"/>
        <v>March</v>
      </c>
      <c r="T307">
        <f t="shared" si="18"/>
        <v>3</v>
      </c>
      <c r="U307" t="str">
        <f t="shared" si="19"/>
        <v>Tuesday</v>
      </c>
    </row>
    <row r="308" spans="1:21" x14ac:dyDescent="0.2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4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  <c r="R308" s="6">
        <f t="shared" si="16"/>
        <v>281.60999999999996</v>
      </c>
      <c r="S308" t="str">
        <f t="shared" si="17"/>
        <v>March</v>
      </c>
      <c r="T308">
        <f t="shared" si="18"/>
        <v>3</v>
      </c>
      <c r="U308" t="str">
        <f t="shared" si="19"/>
        <v>Saturday</v>
      </c>
    </row>
    <row r="309" spans="1:21" x14ac:dyDescent="0.2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4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  <c r="R309" s="6">
        <f t="shared" si="16"/>
        <v>710.32</v>
      </c>
      <c r="S309" t="str">
        <f t="shared" si="17"/>
        <v>February</v>
      </c>
      <c r="T309">
        <f t="shared" si="18"/>
        <v>2</v>
      </c>
      <c r="U309" t="str">
        <f t="shared" si="19"/>
        <v>Sunday</v>
      </c>
    </row>
    <row r="310" spans="1:21" x14ac:dyDescent="0.2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4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  <c r="R310" s="6">
        <f t="shared" si="16"/>
        <v>79.44</v>
      </c>
      <c r="S310" t="str">
        <f t="shared" si="17"/>
        <v>March</v>
      </c>
      <c r="T310">
        <f t="shared" si="18"/>
        <v>3</v>
      </c>
      <c r="U310" t="str">
        <f t="shared" si="19"/>
        <v>Thursday</v>
      </c>
    </row>
    <row r="311" spans="1:21" x14ac:dyDescent="0.2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4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  <c r="R311" s="6">
        <f t="shared" si="16"/>
        <v>163.82</v>
      </c>
      <c r="S311" t="str">
        <f t="shared" si="17"/>
        <v>May</v>
      </c>
      <c r="T311">
        <f t="shared" si="18"/>
        <v>5</v>
      </c>
      <c r="U311" t="str">
        <f t="shared" si="19"/>
        <v>Friday</v>
      </c>
    </row>
    <row r="312" spans="1:21" x14ac:dyDescent="0.2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4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  <c r="R312" s="6">
        <f t="shared" si="16"/>
        <v>479.58000000000004</v>
      </c>
      <c r="S312" t="str">
        <f t="shared" si="17"/>
        <v>January</v>
      </c>
      <c r="T312">
        <f t="shared" si="18"/>
        <v>1</v>
      </c>
      <c r="U312" t="str">
        <f t="shared" si="19"/>
        <v>Thursday</v>
      </c>
    </row>
    <row r="313" spans="1:21" x14ac:dyDescent="0.2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4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  <c r="R313" s="6">
        <f t="shared" si="16"/>
        <v>138.66</v>
      </c>
      <c r="S313" t="str">
        <f t="shared" si="17"/>
        <v>May</v>
      </c>
      <c r="T313">
        <f t="shared" si="18"/>
        <v>5</v>
      </c>
      <c r="U313" t="str">
        <f t="shared" si="19"/>
        <v>Thursday</v>
      </c>
    </row>
    <row r="314" spans="1:21" x14ac:dyDescent="0.2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4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  <c r="R314" s="6">
        <f t="shared" si="16"/>
        <v>71.150000000000006</v>
      </c>
      <c r="S314" t="str">
        <f t="shared" si="17"/>
        <v>January</v>
      </c>
      <c r="T314">
        <f t="shared" si="18"/>
        <v>1</v>
      </c>
      <c r="U314" t="str">
        <f t="shared" si="19"/>
        <v>Wednesday</v>
      </c>
    </row>
    <row r="315" spans="1:21" x14ac:dyDescent="0.2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4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  <c r="R315" s="6">
        <f t="shared" si="16"/>
        <v>139.95000000000002</v>
      </c>
      <c r="S315" t="str">
        <f t="shared" si="17"/>
        <v>July</v>
      </c>
      <c r="T315">
        <f t="shared" si="18"/>
        <v>7</v>
      </c>
      <c r="U315" t="str">
        <f t="shared" si="19"/>
        <v>Wednesday</v>
      </c>
    </row>
    <row r="316" spans="1:21" x14ac:dyDescent="0.2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4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  <c r="R316" s="6">
        <f t="shared" si="16"/>
        <v>781.3</v>
      </c>
      <c r="S316" t="str">
        <f t="shared" si="17"/>
        <v>October</v>
      </c>
      <c r="T316">
        <f t="shared" si="18"/>
        <v>10</v>
      </c>
      <c r="U316" t="str">
        <f t="shared" si="19"/>
        <v>Wednesday</v>
      </c>
    </row>
    <row r="317" spans="1:21" x14ac:dyDescent="0.2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4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  <c r="R317" s="6">
        <f t="shared" si="16"/>
        <v>198.74</v>
      </c>
      <c r="S317" t="str">
        <f t="shared" si="17"/>
        <v>February</v>
      </c>
      <c r="T317">
        <f t="shared" si="18"/>
        <v>2</v>
      </c>
      <c r="U317" t="str">
        <f t="shared" si="19"/>
        <v>Thursday</v>
      </c>
    </row>
    <row r="318" spans="1:21" x14ac:dyDescent="0.2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4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  <c r="R318" s="6">
        <f t="shared" si="16"/>
        <v>63.239999999999995</v>
      </c>
      <c r="S318" t="str">
        <f t="shared" si="17"/>
        <v>September</v>
      </c>
      <c r="T318">
        <f t="shared" si="18"/>
        <v>9</v>
      </c>
      <c r="U318" t="str">
        <f t="shared" si="19"/>
        <v>Monday</v>
      </c>
    </row>
    <row r="319" spans="1:21" x14ac:dyDescent="0.2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4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  <c r="R319" s="6">
        <f t="shared" si="16"/>
        <v>373.95000000000005</v>
      </c>
      <c r="S319" t="str">
        <f t="shared" si="17"/>
        <v>October</v>
      </c>
      <c r="T319">
        <f t="shared" si="18"/>
        <v>10</v>
      </c>
      <c r="U319" t="str">
        <f t="shared" si="19"/>
        <v>Tuesday</v>
      </c>
    </row>
    <row r="320" spans="1:21" x14ac:dyDescent="0.2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4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  <c r="R320" s="6">
        <f t="shared" si="16"/>
        <v>207.69</v>
      </c>
      <c r="S320" t="str">
        <f t="shared" si="17"/>
        <v>November</v>
      </c>
      <c r="T320">
        <f t="shared" si="18"/>
        <v>11</v>
      </c>
      <c r="U320" t="str">
        <f t="shared" si="19"/>
        <v>Sunday</v>
      </c>
    </row>
    <row r="321" spans="1:21" x14ac:dyDescent="0.2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4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  <c r="R321" s="6">
        <f t="shared" si="16"/>
        <v>176.28</v>
      </c>
      <c r="S321" t="str">
        <f t="shared" si="17"/>
        <v>February</v>
      </c>
      <c r="T321">
        <f t="shared" si="18"/>
        <v>2</v>
      </c>
      <c r="U321" t="str">
        <f t="shared" si="19"/>
        <v>Monday</v>
      </c>
    </row>
    <row r="322" spans="1:21" x14ac:dyDescent="0.2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4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  <c r="R322" s="6">
        <f t="shared" si="16"/>
        <v>206.37</v>
      </c>
      <c r="S322" t="str">
        <f t="shared" si="17"/>
        <v>February</v>
      </c>
      <c r="T322">
        <f t="shared" si="18"/>
        <v>2</v>
      </c>
      <c r="U322" t="str">
        <f t="shared" si="19"/>
        <v>Tuesday</v>
      </c>
    </row>
    <row r="323" spans="1:21" x14ac:dyDescent="0.2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4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  <c r="R323" s="6">
        <f t="shared" ref="R323:R386" si="20">H323*G323</f>
        <v>39.42</v>
      </c>
      <c r="S323" t="str">
        <f t="shared" ref="S323:S386" si="21">TEXT(K323,"mmmm")</f>
        <v>January</v>
      </c>
      <c r="T323">
        <f t="shared" ref="T323:T386" si="22">MONTH(K323)</f>
        <v>1</v>
      </c>
      <c r="U323" t="str">
        <f t="shared" ref="U323:U386" si="23">TEXT(K323,"dddd")</f>
        <v>Friday</v>
      </c>
    </row>
    <row r="324" spans="1:21" x14ac:dyDescent="0.2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4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  <c r="R324" s="6">
        <f t="shared" si="20"/>
        <v>91.56</v>
      </c>
      <c r="S324" t="str">
        <f t="shared" si="21"/>
        <v>February</v>
      </c>
      <c r="T324">
        <f t="shared" si="22"/>
        <v>2</v>
      </c>
      <c r="U324" t="str">
        <f t="shared" si="23"/>
        <v>Friday</v>
      </c>
    </row>
    <row r="325" spans="1:21" x14ac:dyDescent="0.2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4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  <c r="R325" s="6">
        <f t="shared" si="20"/>
        <v>308.85000000000002</v>
      </c>
      <c r="S325" t="str">
        <f t="shared" si="21"/>
        <v>August</v>
      </c>
      <c r="T325">
        <f t="shared" si="22"/>
        <v>8</v>
      </c>
      <c r="U325" t="str">
        <f t="shared" si="23"/>
        <v>Saturday</v>
      </c>
    </row>
    <row r="326" spans="1:21" x14ac:dyDescent="0.2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4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  <c r="R326" s="6">
        <f t="shared" si="20"/>
        <v>129.12</v>
      </c>
      <c r="S326" t="str">
        <f t="shared" si="21"/>
        <v>January</v>
      </c>
      <c r="T326">
        <f t="shared" si="22"/>
        <v>1</v>
      </c>
      <c r="U326" t="str">
        <f t="shared" si="23"/>
        <v>Thursday</v>
      </c>
    </row>
    <row r="327" spans="1:21" x14ac:dyDescent="0.2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4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  <c r="R327" s="6">
        <f t="shared" si="20"/>
        <v>390.96</v>
      </c>
      <c r="S327" t="str">
        <f t="shared" si="21"/>
        <v>December</v>
      </c>
      <c r="T327">
        <f t="shared" si="22"/>
        <v>12</v>
      </c>
      <c r="U327" t="str">
        <f t="shared" si="23"/>
        <v>Tuesday</v>
      </c>
    </row>
    <row r="328" spans="1:21" x14ac:dyDescent="0.2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4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  <c r="R328" s="6">
        <f t="shared" si="20"/>
        <v>498.9</v>
      </c>
      <c r="S328" t="str">
        <f t="shared" si="21"/>
        <v>September</v>
      </c>
      <c r="T328">
        <f t="shared" si="22"/>
        <v>9</v>
      </c>
      <c r="U328" t="str">
        <f t="shared" si="23"/>
        <v>Tuesday</v>
      </c>
    </row>
    <row r="329" spans="1:21" x14ac:dyDescent="0.2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4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  <c r="R329" s="6">
        <f t="shared" si="20"/>
        <v>377.04</v>
      </c>
      <c r="S329" t="str">
        <f t="shared" si="21"/>
        <v>December</v>
      </c>
      <c r="T329">
        <f t="shared" si="22"/>
        <v>12</v>
      </c>
      <c r="U329" t="str">
        <f t="shared" si="23"/>
        <v>Tuesday</v>
      </c>
    </row>
    <row r="330" spans="1:21" x14ac:dyDescent="0.2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4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  <c r="R330" s="6">
        <f t="shared" si="20"/>
        <v>204.52</v>
      </c>
      <c r="S330" t="str">
        <f t="shared" si="21"/>
        <v>January</v>
      </c>
      <c r="T330">
        <f t="shared" si="22"/>
        <v>1</v>
      </c>
      <c r="U330" t="str">
        <f t="shared" si="23"/>
        <v>Friday</v>
      </c>
    </row>
    <row r="331" spans="1:21" x14ac:dyDescent="0.2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4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  <c r="R331" s="6">
        <f t="shared" si="20"/>
        <v>145.44</v>
      </c>
      <c r="S331" t="str">
        <f t="shared" si="21"/>
        <v>March</v>
      </c>
      <c r="T331">
        <f t="shared" si="22"/>
        <v>3</v>
      </c>
      <c r="U331" t="str">
        <f t="shared" si="23"/>
        <v>Monday</v>
      </c>
    </row>
    <row r="332" spans="1:21" x14ac:dyDescent="0.2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4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  <c r="R332" s="6">
        <f t="shared" si="20"/>
        <v>198.18</v>
      </c>
      <c r="S332" t="str">
        <f t="shared" si="21"/>
        <v>July</v>
      </c>
      <c r="T332">
        <f t="shared" si="22"/>
        <v>7</v>
      </c>
      <c r="U332" t="str">
        <f t="shared" si="23"/>
        <v>Tuesday</v>
      </c>
    </row>
    <row r="333" spans="1:21" x14ac:dyDescent="0.2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4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  <c r="R333" s="6">
        <f t="shared" si="20"/>
        <v>98.699999999999989</v>
      </c>
      <c r="S333" t="str">
        <f t="shared" si="21"/>
        <v>February</v>
      </c>
      <c r="T333">
        <f t="shared" si="22"/>
        <v>2</v>
      </c>
      <c r="U333" t="str">
        <f t="shared" si="23"/>
        <v>Sunday</v>
      </c>
    </row>
    <row r="334" spans="1:21" x14ac:dyDescent="0.2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4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  <c r="R334" s="6">
        <f t="shared" si="20"/>
        <v>385.09999999999997</v>
      </c>
      <c r="S334" t="str">
        <f t="shared" si="21"/>
        <v>March</v>
      </c>
      <c r="T334">
        <f t="shared" si="22"/>
        <v>3</v>
      </c>
      <c r="U334" t="str">
        <f t="shared" si="23"/>
        <v>Saturday</v>
      </c>
    </row>
    <row r="335" spans="1:21" x14ac:dyDescent="0.2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4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  <c r="R335" s="6">
        <f t="shared" si="20"/>
        <v>46.96</v>
      </c>
      <c r="S335" t="str">
        <f t="shared" si="21"/>
        <v>March</v>
      </c>
      <c r="T335">
        <f t="shared" si="22"/>
        <v>3</v>
      </c>
      <c r="U335" t="str">
        <f t="shared" si="23"/>
        <v>Thursday</v>
      </c>
    </row>
    <row r="336" spans="1:21" x14ac:dyDescent="0.2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4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  <c r="R336" s="6">
        <f t="shared" si="20"/>
        <v>73.5</v>
      </c>
      <c r="S336" t="str">
        <f t="shared" si="21"/>
        <v>March</v>
      </c>
      <c r="T336">
        <f t="shared" si="22"/>
        <v>3</v>
      </c>
      <c r="U336" t="str">
        <f t="shared" si="23"/>
        <v>Sunday</v>
      </c>
    </row>
    <row r="337" spans="1:21" x14ac:dyDescent="0.2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4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  <c r="R337" s="6">
        <f t="shared" si="20"/>
        <v>142.25</v>
      </c>
      <c r="S337" t="str">
        <f t="shared" si="21"/>
        <v>March</v>
      </c>
      <c r="T337">
        <f t="shared" si="22"/>
        <v>3</v>
      </c>
      <c r="U337" t="str">
        <f t="shared" si="23"/>
        <v>Thursday</v>
      </c>
    </row>
    <row r="338" spans="1:21" x14ac:dyDescent="0.2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4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  <c r="R338" s="6">
        <f t="shared" si="20"/>
        <v>687.6</v>
      </c>
      <c r="S338" t="str">
        <f t="shared" si="21"/>
        <v>March</v>
      </c>
      <c r="T338">
        <f t="shared" si="22"/>
        <v>3</v>
      </c>
      <c r="U338" t="str">
        <f t="shared" si="23"/>
        <v>Tuesday</v>
      </c>
    </row>
    <row r="339" spans="1:21" x14ac:dyDescent="0.2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4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  <c r="R339" s="6">
        <f t="shared" si="20"/>
        <v>347.70000000000005</v>
      </c>
      <c r="S339" t="str">
        <f t="shared" si="21"/>
        <v>February</v>
      </c>
      <c r="T339">
        <f t="shared" si="22"/>
        <v>2</v>
      </c>
      <c r="U339" t="str">
        <f t="shared" si="23"/>
        <v>Sunday</v>
      </c>
    </row>
    <row r="340" spans="1:21" x14ac:dyDescent="0.2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4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  <c r="R340" s="6">
        <f t="shared" si="20"/>
        <v>142.94999999999999</v>
      </c>
      <c r="S340" t="str">
        <f t="shared" si="21"/>
        <v>March</v>
      </c>
      <c r="T340">
        <f t="shared" si="22"/>
        <v>3</v>
      </c>
      <c r="U340" t="str">
        <f t="shared" si="23"/>
        <v>Thursday</v>
      </c>
    </row>
    <row r="341" spans="1:21" x14ac:dyDescent="0.2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4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  <c r="R341" s="6">
        <f t="shared" si="20"/>
        <v>385.38</v>
      </c>
      <c r="S341" t="str">
        <f t="shared" si="21"/>
        <v>May</v>
      </c>
      <c r="T341">
        <f t="shared" si="22"/>
        <v>5</v>
      </c>
      <c r="U341" t="str">
        <f t="shared" si="23"/>
        <v>Thursday</v>
      </c>
    </row>
    <row r="342" spans="1:21" x14ac:dyDescent="0.2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4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  <c r="R342" s="6">
        <f t="shared" si="20"/>
        <v>144.27000000000001</v>
      </c>
      <c r="S342" t="str">
        <f t="shared" si="21"/>
        <v>October</v>
      </c>
      <c r="T342">
        <f t="shared" si="22"/>
        <v>10</v>
      </c>
      <c r="U342" t="str">
        <f t="shared" si="23"/>
        <v>Wednesday</v>
      </c>
    </row>
    <row r="343" spans="1:21" x14ac:dyDescent="0.2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4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  <c r="R343" s="6">
        <f t="shared" si="20"/>
        <v>391.78999999999996</v>
      </c>
      <c r="S343" t="str">
        <f t="shared" si="21"/>
        <v>May</v>
      </c>
      <c r="T343">
        <f t="shared" si="22"/>
        <v>5</v>
      </c>
      <c r="U343" t="str">
        <f t="shared" si="23"/>
        <v>Friday</v>
      </c>
    </row>
    <row r="344" spans="1:21" x14ac:dyDescent="0.2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4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  <c r="R344" s="6">
        <f t="shared" si="20"/>
        <v>538.30000000000007</v>
      </c>
      <c r="S344" t="str">
        <f t="shared" si="21"/>
        <v>February</v>
      </c>
      <c r="T344">
        <f t="shared" si="22"/>
        <v>2</v>
      </c>
      <c r="U344" t="str">
        <f t="shared" si="23"/>
        <v>Friday</v>
      </c>
    </row>
    <row r="345" spans="1:21" x14ac:dyDescent="0.2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4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  <c r="R345" s="6">
        <f t="shared" si="20"/>
        <v>485.15</v>
      </c>
      <c r="S345" t="str">
        <f t="shared" si="21"/>
        <v>January</v>
      </c>
      <c r="T345">
        <f t="shared" si="22"/>
        <v>1</v>
      </c>
      <c r="U345" t="str">
        <f t="shared" si="23"/>
        <v>Wednesday</v>
      </c>
    </row>
    <row r="346" spans="1:21" x14ac:dyDescent="0.2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4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  <c r="R346" s="6">
        <f t="shared" si="20"/>
        <v>133.94999999999999</v>
      </c>
      <c r="S346" t="str">
        <f t="shared" si="21"/>
        <v>February</v>
      </c>
      <c r="T346">
        <f t="shared" si="22"/>
        <v>2</v>
      </c>
      <c r="U346" t="str">
        <f t="shared" si="23"/>
        <v>Thursday</v>
      </c>
    </row>
    <row r="347" spans="1:21" x14ac:dyDescent="0.2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4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  <c r="R347" s="6">
        <f t="shared" si="20"/>
        <v>701.37000000000012</v>
      </c>
      <c r="S347" t="str">
        <f t="shared" si="21"/>
        <v>February</v>
      </c>
      <c r="T347">
        <f t="shared" si="22"/>
        <v>2</v>
      </c>
      <c r="U347" t="str">
        <f t="shared" si="23"/>
        <v>Wednesday</v>
      </c>
    </row>
    <row r="348" spans="1:21" x14ac:dyDescent="0.2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4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  <c r="R348" s="6">
        <f t="shared" si="20"/>
        <v>71.95</v>
      </c>
      <c r="S348" t="str">
        <f t="shared" si="21"/>
        <v>April</v>
      </c>
      <c r="T348">
        <f t="shared" si="22"/>
        <v>4</v>
      </c>
      <c r="U348" t="str">
        <f t="shared" si="23"/>
        <v>Tuesday</v>
      </c>
    </row>
    <row r="349" spans="1:21" x14ac:dyDescent="0.2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4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  <c r="R349" s="6">
        <f t="shared" si="20"/>
        <v>714</v>
      </c>
      <c r="S349" t="str">
        <f t="shared" si="21"/>
        <v>January</v>
      </c>
      <c r="T349">
        <f t="shared" si="22"/>
        <v>1</v>
      </c>
      <c r="U349" t="str">
        <f t="shared" si="23"/>
        <v>Sunday</v>
      </c>
    </row>
    <row r="350" spans="1:21" x14ac:dyDescent="0.2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4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  <c r="R350" s="6">
        <f t="shared" si="20"/>
        <v>182.14</v>
      </c>
      <c r="S350" t="str">
        <f t="shared" si="21"/>
        <v>March</v>
      </c>
      <c r="T350">
        <f t="shared" si="22"/>
        <v>3</v>
      </c>
      <c r="U350" t="str">
        <f t="shared" si="23"/>
        <v>Thursday</v>
      </c>
    </row>
    <row r="351" spans="1:21" x14ac:dyDescent="0.2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4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  <c r="R351" s="6">
        <f t="shared" si="20"/>
        <v>135</v>
      </c>
      <c r="S351" t="str">
        <f t="shared" si="21"/>
        <v>February</v>
      </c>
      <c r="T351">
        <f t="shared" si="22"/>
        <v>2</v>
      </c>
      <c r="U351" t="str">
        <f t="shared" si="23"/>
        <v>Wednesday</v>
      </c>
    </row>
    <row r="352" spans="1:21" x14ac:dyDescent="0.2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4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  <c r="R352" s="6">
        <f t="shared" si="20"/>
        <v>993</v>
      </c>
      <c r="S352" t="str">
        <f t="shared" si="21"/>
        <v>February</v>
      </c>
      <c r="T352">
        <f t="shared" si="22"/>
        <v>2</v>
      </c>
      <c r="U352" t="str">
        <f t="shared" si="23"/>
        <v>Friday</v>
      </c>
    </row>
    <row r="353" spans="1:21" x14ac:dyDescent="0.2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4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  <c r="R353" s="6">
        <f t="shared" si="20"/>
        <v>361.83</v>
      </c>
      <c r="S353" t="str">
        <f t="shared" si="21"/>
        <v>January</v>
      </c>
      <c r="T353">
        <f t="shared" si="22"/>
        <v>1</v>
      </c>
      <c r="U353" t="str">
        <f t="shared" si="23"/>
        <v>Saturday</v>
      </c>
    </row>
    <row r="354" spans="1:21" x14ac:dyDescent="0.2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4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  <c r="R354" s="6">
        <f t="shared" si="20"/>
        <v>383.10999999999996</v>
      </c>
      <c r="S354" t="str">
        <f t="shared" si="21"/>
        <v>March</v>
      </c>
      <c r="T354">
        <f t="shared" si="22"/>
        <v>3</v>
      </c>
      <c r="U354" t="str">
        <f t="shared" si="23"/>
        <v>Thursday</v>
      </c>
    </row>
    <row r="355" spans="1:21" x14ac:dyDescent="0.2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4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  <c r="R355" s="6">
        <f t="shared" si="20"/>
        <v>243</v>
      </c>
      <c r="S355" t="str">
        <f t="shared" si="21"/>
        <v>February</v>
      </c>
      <c r="T355">
        <f t="shared" si="22"/>
        <v>2</v>
      </c>
      <c r="U355" t="str">
        <f t="shared" si="23"/>
        <v>Sunday</v>
      </c>
    </row>
    <row r="356" spans="1:21" x14ac:dyDescent="0.2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4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  <c r="R356" s="6">
        <f t="shared" si="20"/>
        <v>30.24</v>
      </c>
      <c r="S356" t="str">
        <f t="shared" si="21"/>
        <v>April</v>
      </c>
      <c r="T356">
        <f t="shared" si="22"/>
        <v>4</v>
      </c>
      <c r="U356" t="str">
        <f t="shared" si="23"/>
        <v>Wednesday</v>
      </c>
    </row>
    <row r="357" spans="1:21" x14ac:dyDescent="0.2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4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  <c r="R357" s="6">
        <f t="shared" si="20"/>
        <v>356.56</v>
      </c>
      <c r="S357" t="str">
        <f t="shared" si="21"/>
        <v>July</v>
      </c>
      <c r="T357">
        <f t="shared" si="22"/>
        <v>7</v>
      </c>
      <c r="U357" t="str">
        <f t="shared" si="23"/>
        <v>Monday</v>
      </c>
    </row>
    <row r="358" spans="1:21" x14ac:dyDescent="0.2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4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  <c r="R358" s="6">
        <f t="shared" si="20"/>
        <v>375.5</v>
      </c>
      <c r="S358" t="str">
        <f t="shared" si="21"/>
        <v>August</v>
      </c>
      <c r="T358">
        <f t="shared" si="22"/>
        <v>8</v>
      </c>
      <c r="U358" t="str">
        <f t="shared" si="23"/>
        <v>Saturday</v>
      </c>
    </row>
    <row r="359" spans="1:21" x14ac:dyDescent="0.2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4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  <c r="R359" s="6">
        <f t="shared" si="20"/>
        <v>954.4</v>
      </c>
      <c r="S359" t="str">
        <f t="shared" si="21"/>
        <v>September</v>
      </c>
      <c r="T359">
        <f t="shared" si="22"/>
        <v>9</v>
      </c>
      <c r="U359" t="str">
        <f t="shared" si="23"/>
        <v>Sunday</v>
      </c>
    </row>
    <row r="360" spans="1:21" x14ac:dyDescent="0.2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4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  <c r="R360" s="6">
        <f t="shared" si="20"/>
        <v>82.5</v>
      </c>
      <c r="S360" t="str">
        <f t="shared" si="21"/>
        <v>January</v>
      </c>
      <c r="T360">
        <f t="shared" si="22"/>
        <v>1</v>
      </c>
      <c r="U360" t="str">
        <f t="shared" si="23"/>
        <v>Thursday</v>
      </c>
    </row>
    <row r="361" spans="1:21" x14ac:dyDescent="0.2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4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  <c r="R361" s="6">
        <f t="shared" si="20"/>
        <v>74.97</v>
      </c>
      <c r="S361" t="str">
        <f t="shared" si="21"/>
        <v>March</v>
      </c>
      <c r="T361">
        <f t="shared" si="22"/>
        <v>3</v>
      </c>
      <c r="U361" t="str">
        <f t="shared" si="23"/>
        <v>Saturday</v>
      </c>
    </row>
    <row r="362" spans="1:21" x14ac:dyDescent="0.2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4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  <c r="R362" s="6">
        <f t="shared" si="20"/>
        <v>647.67999999999995</v>
      </c>
      <c r="S362" t="str">
        <f t="shared" si="21"/>
        <v>February</v>
      </c>
      <c r="T362">
        <f t="shared" si="22"/>
        <v>2</v>
      </c>
      <c r="U362" t="str">
        <f t="shared" si="23"/>
        <v>Sunday</v>
      </c>
    </row>
    <row r="363" spans="1:21" x14ac:dyDescent="0.2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4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  <c r="R363" s="6">
        <f t="shared" si="20"/>
        <v>755.76</v>
      </c>
      <c r="S363" t="str">
        <f t="shared" si="21"/>
        <v>February</v>
      </c>
      <c r="T363">
        <f t="shared" si="22"/>
        <v>2</v>
      </c>
      <c r="U363" t="str">
        <f t="shared" si="23"/>
        <v>Wednesday</v>
      </c>
    </row>
    <row r="364" spans="1:21" x14ac:dyDescent="0.2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4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  <c r="R364" s="6">
        <f t="shared" si="20"/>
        <v>199.58</v>
      </c>
      <c r="S364" t="str">
        <f t="shared" si="21"/>
        <v>July</v>
      </c>
      <c r="T364">
        <f t="shared" si="22"/>
        <v>7</v>
      </c>
      <c r="U364" t="str">
        <f t="shared" si="23"/>
        <v>Wednesday</v>
      </c>
    </row>
    <row r="365" spans="1:21" x14ac:dyDescent="0.2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4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  <c r="R365" s="6">
        <f t="shared" si="20"/>
        <v>439.32</v>
      </c>
      <c r="S365" t="str">
        <f t="shared" si="21"/>
        <v>January</v>
      </c>
      <c r="T365">
        <f t="shared" si="22"/>
        <v>1</v>
      </c>
      <c r="U365" t="str">
        <f t="shared" si="23"/>
        <v>Monday</v>
      </c>
    </row>
    <row r="366" spans="1:21" x14ac:dyDescent="0.2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4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  <c r="R366" s="6">
        <f t="shared" si="20"/>
        <v>164.96</v>
      </c>
      <c r="S366" t="str">
        <f t="shared" si="21"/>
        <v>February</v>
      </c>
      <c r="T366">
        <f t="shared" si="22"/>
        <v>2</v>
      </c>
      <c r="U366" t="str">
        <f t="shared" si="23"/>
        <v>Tuesday</v>
      </c>
    </row>
    <row r="367" spans="1:21" x14ac:dyDescent="0.2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4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  <c r="R367" s="6">
        <f t="shared" si="20"/>
        <v>326.72000000000003</v>
      </c>
      <c r="S367" t="str">
        <f t="shared" si="21"/>
        <v>June</v>
      </c>
      <c r="T367">
        <f t="shared" si="22"/>
        <v>6</v>
      </c>
      <c r="U367" t="str">
        <f t="shared" si="23"/>
        <v>Saturday</v>
      </c>
    </row>
    <row r="368" spans="1:21" x14ac:dyDescent="0.2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4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  <c r="R368" s="6">
        <f t="shared" si="20"/>
        <v>461.88</v>
      </c>
      <c r="S368" t="str">
        <f t="shared" si="21"/>
        <v>March</v>
      </c>
      <c r="T368">
        <f t="shared" si="22"/>
        <v>3</v>
      </c>
      <c r="U368" t="str">
        <f t="shared" si="23"/>
        <v>Thursday</v>
      </c>
    </row>
    <row r="369" spans="1:21" x14ac:dyDescent="0.2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4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  <c r="R369" s="6">
        <f t="shared" si="20"/>
        <v>263.76</v>
      </c>
      <c r="S369" t="str">
        <f t="shared" si="21"/>
        <v>March</v>
      </c>
      <c r="T369">
        <f t="shared" si="22"/>
        <v>3</v>
      </c>
      <c r="U369" t="str">
        <f t="shared" si="23"/>
        <v>Sunday</v>
      </c>
    </row>
    <row r="370" spans="1:21" x14ac:dyDescent="0.2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4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  <c r="R370" s="6">
        <f t="shared" si="20"/>
        <v>143.6</v>
      </c>
      <c r="S370" t="str">
        <f t="shared" si="21"/>
        <v>January</v>
      </c>
      <c r="T370">
        <f t="shared" si="22"/>
        <v>1</v>
      </c>
      <c r="U370" t="str">
        <f t="shared" si="23"/>
        <v>Sunday</v>
      </c>
    </row>
    <row r="371" spans="1:21" x14ac:dyDescent="0.2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4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  <c r="R371" s="6">
        <f t="shared" si="20"/>
        <v>193.5</v>
      </c>
      <c r="S371" t="str">
        <f t="shared" si="21"/>
        <v>June</v>
      </c>
      <c r="T371">
        <f t="shared" si="22"/>
        <v>6</v>
      </c>
      <c r="U371" t="str">
        <f t="shared" si="23"/>
        <v>Monday</v>
      </c>
    </row>
    <row r="372" spans="1:21" x14ac:dyDescent="0.2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4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  <c r="R372" s="6">
        <f t="shared" si="20"/>
        <v>183.82000000000002</v>
      </c>
      <c r="S372" t="str">
        <f t="shared" si="21"/>
        <v>February</v>
      </c>
      <c r="T372">
        <f t="shared" si="22"/>
        <v>2</v>
      </c>
      <c r="U372" t="str">
        <f t="shared" si="23"/>
        <v>Saturday</v>
      </c>
    </row>
    <row r="373" spans="1:21" x14ac:dyDescent="0.2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4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  <c r="R373" s="6">
        <f t="shared" si="20"/>
        <v>121.92</v>
      </c>
      <c r="S373" t="str">
        <f t="shared" si="21"/>
        <v>January</v>
      </c>
      <c r="T373">
        <f t="shared" si="22"/>
        <v>1</v>
      </c>
      <c r="U373" t="str">
        <f t="shared" si="23"/>
        <v>Friday</v>
      </c>
    </row>
    <row r="374" spans="1:21" x14ac:dyDescent="0.2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4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  <c r="R374" s="6">
        <f t="shared" si="20"/>
        <v>420.65999999999997</v>
      </c>
      <c r="S374" t="str">
        <f t="shared" si="21"/>
        <v>March</v>
      </c>
      <c r="T374">
        <f t="shared" si="22"/>
        <v>3</v>
      </c>
      <c r="U374" t="str">
        <f t="shared" si="23"/>
        <v>Thursday</v>
      </c>
    </row>
    <row r="375" spans="1:21" x14ac:dyDescent="0.2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4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  <c r="R375" s="6">
        <f t="shared" si="20"/>
        <v>252.48</v>
      </c>
      <c r="S375" t="str">
        <f t="shared" si="21"/>
        <v>January</v>
      </c>
      <c r="T375">
        <f t="shared" si="22"/>
        <v>1</v>
      </c>
      <c r="U375" t="str">
        <f t="shared" si="23"/>
        <v>Tuesday</v>
      </c>
    </row>
    <row r="376" spans="1:21" x14ac:dyDescent="0.2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4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  <c r="R376" s="6">
        <f t="shared" si="20"/>
        <v>335.45000000000005</v>
      </c>
      <c r="S376" t="str">
        <f t="shared" si="21"/>
        <v>March</v>
      </c>
      <c r="T376">
        <f t="shared" si="22"/>
        <v>3</v>
      </c>
      <c r="U376" t="str">
        <f t="shared" si="23"/>
        <v>Friday</v>
      </c>
    </row>
    <row r="377" spans="1:21" x14ac:dyDescent="0.2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4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  <c r="R377" s="6">
        <f t="shared" si="20"/>
        <v>483.5</v>
      </c>
      <c r="S377" t="str">
        <f t="shared" si="21"/>
        <v>January</v>
      </c>
      <c r="T377">
        <f t="shared" si="22"/>
        <v>1</v>
      </c>
      <c r="U377" t="str">
        <f t="shared" si="23"/>
        <v>Monday</v>
      </c>
    </row>
    <row r="378" spans="1:21" x14ac:dyDescent="0.2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4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  <c r="R378" s="6">
        <f t="shared" si="20"/>
        <v>318.42</v>
      </c>
      <c r="S378" t="str">
        <f t="shared" si="21"/>
        <v>May</v>
      </c>
      <c r="T378">
        <f t="shared" si="22"/>
        <v>5</v>
      </c>
      <c r="U378" t="str">
        <f t="shared" si="23"/>
        <v>Wednesday</v>
      </c>
    </row>
    <row r="379" spans="1:21" x14ac:dyDescent="0.2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4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  <c r="R379" s="6">
        <f t="shared" si="20"/>
        <v>668.43</v>
      </c>
      <c r="S379" t="str">
        <f t="shared" si="21"/>
        <v>February</v>
      </c>
      <c r="T379">
        <f t="shared" si="22"/>
        <v>2</v>
      </c>
      <c r="U379" t="str">
        <f t="shared" si="23"/>
        <v>Friday</v>
      </c>
    </row>
    <row r="380" spans="1:21" x14ac:dyDescent="0.2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4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  <c r="R380" s="6">
        <f t="shared" si="20"/>
        <v>387.92</v>
      </c>
      <c r="S380" t="str">
        <f t="shared" si="21"/>
        <v>June</v>
      </c>
      <c r="T380">
        <f t="shared" si="22"/>
        <v>6</v>
      </c>
      <c r="U380" t="str">
        <f t="shared" si="23"/>
        <v>Sunday</v>
      </c>
    </row>
    <row r="381" spans="1:21" x14ac:dyDescent="0.2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4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  <c r="R381" s="6">
        <f t="shared" si="20"/>
        <v>94.6</v>
      </c>
      <c r="S381" t="str">
        <f t="shared" si="21"/>
        <v>January</v>
      </c>
      <c r="T381">
        <f t="shared" si="22"/>
        <v>1</v>
      </c>
      <c r="U381" t="str">
        <f t="shared" si="23"/>
        <v>Wednesday</v>
      </c>
    </row>
    <row r="382" spans="1:21" x14ac:dyDescent="0.2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4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  <c r="R382" s="6">
        <f t="shared" si="20"/>
        <v>329.32</v>
      </c>
      <c r="S382" t="str">
        <f t="shared" si="21"/>
        <v>November</v>
      </c>
      <c r="T382">
        <f t="shared" si="22"/>
        <v>11</v>
      </c>
      <c r="U382" t="str">
        <f t="shared" si="23"/>
        <v>Friday</v>
      </c>
    </row>
    <row r="383" spans="1:21" x14ac:dyDescent="0.2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4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  <c r="R383" s="6">
        <f t="shared" si="20"/>
        <v>53.22</v>
      </c>
      <c r="S383" t="str">
        <f t="shared" si="21"/>
        <v>March</v>
      </c>
      <c r="T383">
        <f t="shared" si="22"/>
        <v>3</v>
      </c>
      <c r="U383" t="str">
        <f t="shared" si="23"/>
        <v>Tuesday</v>
      </c>
    </row>
    <row r="384" spans="1:21" x14ac:dyDescent="0.2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4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  <c r="R384" s="6">
        <f t="shared" si="20"/>
        <v>498.45</v>
      </c>
      <c r="S384" t="str">
        <f t="shared" si="21"/>
        <v>January</v>
      </c>
      <c r="T384">
        <f t="shared" si="22"/>
        <v>1</v>
      </c>
      <c r="U384" t="str">
        <f t="shared" si="23"/>
        <v>Monday</v>
      </c>
    </row>
    <row r="385" spans="1:21" x14ac:dyDescent="0.2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4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  <c r="R385" s="6">
        <f t="shared" si="20"/>
        <v>299.56</v>
      </c>
      <c r="S385" t="str">
        <f t="shared" si="21"/>
        <v>January</v>
      </c>
      <c r="T385">
        <f t="shared" si="22"/>
        <v>1</v>
      </c>
      <c r="U385" t="str">
        <f t="shared" si="23"/>
        <v>Thursday</v>
      </c>
    </row>
    <row r="386" spans="1:21" x14ac:dyDescent="0.2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4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  <c r="R386" s="6">
        <f t="shared" si="20"/>
        <v>204.7</v>
      </c>
      <c r="S386" t="str">
        <f t="shared" si="21"/>
        <v>June</v>
      </c>
      <c r="T386">
        <f t="shared" si="22"/>
        <v>6</v>
      </c>
      <c r="U386" t="str">
        <f t="shared" si="23"/>
        <v>Saturday</v>
      </c>
    </row>
    <row r="387" spans="1:21" x14ac:dyDescent="0.2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4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  <c r="R387" s="6">
        <f t="shared" ref="R387:R450" si="24">H387*G387</f>
        <v>75.819999999999993</v>
      </c>
      <c r="S387" t="str">
        <f t="shared" ref="S387:S450" si="25">TEXT(K387,"mmmm")</f>
        <v>January</v>
      </c>
      <c r="T387">
        <f t="shared" ref="T387:T450" si="26">MONTH(K387)</f>
        <v>1</v>
      </c>
      <c r="U387" t="str">
        <f t="shared" ref="U387:U450" si="27">TEXT(K387,"dddd")</f>
        <v>Thursday</v>
      </c>
    </row>
    <row r="388" spans="1:21" x14ac:dyDescent="0.2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4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  <c r="R388" s="6">
        <f t="shared" si="24"/>
        <v>280.62</v>
      </c>
      <c r="S388" t="str">
        <f t="shared" si="25"/>
        <v>November</v>
      </c>
      <c r="T388">
        <f t="shared" si="26"/>
        <v>11</v>
      </c>
      <c r="U388" t="str">
        <f t="shared" si="27"/>
        <v>Sunday</v>
      </c>
    </row>
    <row r="389" spans="1:21" x14ac:dyDescent="0.2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4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  <c r="R389" s="6">
        <f t="shared" si="24"/>
        <v>323.2</v>
      </c>
      <c r="S389" t="str">
        <f t="shared" si="25"/>
        <v>February</v>
      </c>
      <c r="T389">
        <f t="shared" si="26"/>
        <v>2</v>
      </c>
      <c r="U389" t="str">
        <f t="shared" si="27"/>
        <v>Wednesday</v>
      </c>
    </row>
    <row r="390" spans="1:21" x14ac:dyDescent="0.2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4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  <c r="R390" s="6">
        <f t="shared" si="24"/>
        <v>486.63</v>
      </c>
      <c r="S390" t="str">
        <f t="shared" si="25"/>
        <v>January</v>
      </c>
      <c r="T390">
        <f t="shared" si="26"/>
        <v>1</v>
      </c>
      <c r="U390" t="str">
        <f t="shared" si="27"/>
        <v>Sunday</v>
      </c>
    </row>
    <row r="391" spans="1:21" x14ac:dyDescent="0.2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4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  <c r="R391" s="6">
        <f t="shared" si="24"/>
        <v>127.53999999999999</v>
      </c>
      <c r="S391" t="str">
        <f t="shared" si="25"/>
        <v>October</v>
      </c>
      <c r="T391">
        <f t="shared" si="26"/>
        <v>10</v>
      </c>
      <c r="U391" t="str">
        <f t="shared" si="27"/>
        <v>Thursday</v>
      </c>
    </row>
    <row r="392" spans="1:21" x14ac:dyDescent="0.2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4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  <c r="R392" s="6">
        <f t="shared" si="24"/>
        <v>241.44</v>
      </c>
      <c r="S392" t="str">
        <f t="shared" si="25"/>
        <v>February</v>
      </c>
      <c r="T392">
        <f t="shared" si="26"/>
        <v>2</v>
      </c>
      <c r="U392" t="str">
        <f t="shared" si="27"/>
        <v>Friday</v>
      </c>
    </row>
    <row r="393" spans="1:21" x14ac:dyDescent="0.2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4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  <c r="R393" s="6">
        <f t="shared" si="24"/>
        <v>379.5</v>
      </c>
      <c r="S393" t="str">
        <f t="shared" si="25"/>
        <v>January</v>
      </c>
      <c r="T393">
        <f t="shared" si="26"/>
        <v>1</v>
      </c>
      <c r="U393" t="str">
        <f t="shared" si="27"/>
        <v>Saturday</v>
      </c>
    </row>
    <row r="394" spans="1:21" x14ac:dyDescent="0.2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4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  <c r="R394" s="6">
        <f t="shared" si="24"/>
        <v>76.819999999999993</v>
      </c>
      <c r="S394" t="str">
        <f t="shared" si="25"/>
        <v>February</v>
      </c>
      <c r="T394">
        <f t="shared" si="26"/>
        <v>2</v>
      </c>
      <c r="U394" t="str">
        <f t="shared" si="27"/>
        <v>Wednesday</v>
      </c>
    </row>
    <row r="395" spans="1:21" x14ac:dyDescent="0.2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4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  <c r="R395" s="6">
        <f t="shared" si="24"/>
        <v>522.6</v>
      </c>
      <c r="S395" t="str">
        <f t="shared" si="25"/>
        <v>September</v>
      </c>
      <c r="T395">
        <f t="shared" si="26"/>
        <v>9</v>
      </c>
      <c r="U395" t="str">
        <f t="shared" si="27"/>
        <v>Tuesday</v>
      </c>
    </row>
    <row r="396" spans="1:21" x14ac:dyDescent="0.2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4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  <c r="R396" s="6">
        <f t="shared" si="24"/>
        <v>79.739999999999995</v>
      </c>
      <c r="S396" t="str">
        <f t="shared" si="25"/>
        <v>June</v>
      </c>
      <c r="T396">
        <f t="shared" si="26"/>
        <v>6</v>
      </c>
      <c r="U396" t="str">
        <f t="shared" si="27"/>
        <v>Monday</v>
      </c>
    </row>
    <row r="397" spans="1:21" x14ac:dyDescent="0.2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4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  <c r="R397" s="6">
        <f t="shared" si="24"/>
        <v>387.5</v>
      </c>
      <c r="S397" t="str">
        <f t="shared" si="25"/>
        <v>January</v>
      </c>
      <c r="T397">
        <f t="shared" si="26"/>
        <v>1</v>
      </c>
      <c r="U397" t="str">
        <f t="shared" si="27"/>
        <v>Thursday</v>
      </c>
    </row>
    <row r="398" spans="1:21" x14ac:dyDescent="0.2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4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  <c r="R398" s="6">
        <f t="shared" si="24"/>
        <v>271.35000000000002</v>
      </c>
      <c r="S398" t="str">
        <f t="shared" si="25"/>
        <v>March</v>
      </c>
      <c r="T398">
        <f t="shared" si="26"/>
        <v>3</v>
      </c>
      <c r="U398" t="str">
        <f t="shared" si="27"/>
        <v>Wednesday</v>
      </c>
    </row>
    <row r="399" spans="1:21" x14ac:dyDescent="0.2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4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  <c r="R399" s="6">
        <f t="shared" si="24"/>
        <v>122.31</v>
      </c>
      <c r="S399" t="str">
        <f t="shared" si="25"/>
        <v>March</v>
      </c>
      <c r="T399">
        <f t="shared" si="26"/>
        <v>3</v>
      </c>
      <c r="U399" t="str">
        <f t="shared" si="27"/>
        <v>Friday</v>
      </c>
    </row>
    <row r="400" spans="1:21" x14ac:dyDescent="0.2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4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  <c r="R400" s="6">
        <f t="shared" si="24"/>
        <v>246.36</v>
      </c>
      <c r="S400" t="str">
        <f t="shared" si="25"/>
        <v>May</v>
      </c>
      <c r="T400">
        <f t="shared" si="26"/>
        <v>5</v>
      </c>
      <c r="U400" t="str">
        <f t="shared" si="27"/>
        <v>Friday</v>
      </c>
    </row>
    <row r="401" spans="1:21" x14ac:dyDescent="0.2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4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  <c r="R401" s="6">
        <f t="shared" si="24"/>
        <v>173.16</v>
      </c>
      <c r="S401" t="str">
        <f t="shared" si="25"/>
        <v>April</v>
      </c>
      <c r="T401">
        <f t="shared" si="26"/>
        <v>4</v>
      </c>
      <c r="U401" t="str">
        <f t="shared" si="27"/>
        <v>Wednesday</v>
      </c>
    </row>
    <row r="402" spans="1:21" x14ac:dyDescent="0.2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4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  <c r="R402" s="6">
        <f t="shared" si="24"/>
        <v>236.57999999999998</v>
      </c>
      <c r="S402" t="str">
        <f t="shared" si="25"/>
        <v>March</v>
      </c>
      <c r="T402">
        <f t="shared" si="26"/>
        <v>3</v>
      </c>
      <c r="U402" t="str">
        <f t="shared" si="27"/>
        <v>Monday</v>
      </c>
    </row>
    <row r="403" spans="1:21" x14ac:dyDescent="0.2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4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  <c r="R403" s="6">
        <f t="shared" si="24"/>
        <v>184.88</v>
      </c>
      <c r="S403" t="str">
        <f t="shared" si="25"/>
        <v>December</v>
      </c>
      <c r="T403">
        <f t="shared" si="26"/>
        <v>12</v>
      </c>
      <c r="U403" t="str">
        <f t="shared" si="27"/>
        <v>Tuesday</v>
      </c>
    </row>
    <row r="404" spans="1:21" x14ac:dyDescent="0.2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4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  <c r="R404" s="6">
        <f t="shared" si="24"/>
        <v>13.98</v>
      </c>
      <c r="S404" t="str">
        <f t="shared" si="25"/>
        <v>April</v>
      </c>
      <c r="T404">
        <f t="shared" si="26"/>
        <v>4</v>
      </c>
      <c r="U404" t="str">
        <f t="shared" si="27"/>
        <v>Tuesday</v>
      </c>
    </row>
    <row r="405" spans="1:21" x14ac:dyDescent="0.2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4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  <c r="R405" s="6">
        <f t="shared" si="24"/>
        <v>198.75</v>
      </c>
      <c r="S405" t="str">
        <f t="shared" si="25"/>
        <v>February</v>
      </c>
      <c r="T405">
        <f t="shared" si="26"/>
        <v>2</v>
      </c>
      <c r="U405" t="str">
        <f t="shared" si="27"/>
        <v>Friday</v>
      </c>
    </row>
    <row r="406" spans="1:21" x14ac:dyDescent="0.2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4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  <c r="R406" s="6">
        <f t="shared" si="24"/>
        <v>684.53000000000009</v>
      </c>
      <c r="S406" t="str">
        <f t="shared" si="25"/>
        <v>February</v>
      </c>
      <c r="T406">
        <f t="shared" si="26"/>
        <v>2</v>
      </c>
      <c r="U406" t="str">
        <f t="shared" si="27"/>
        <v>Saturday</v>
      </c>
    </row>
    <row r="407" spans="1:21" x14ac:dyDescent="0.2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4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  <c r="R407" s="6">
        <f t="shared" si="24"/>
        <v>269.04000000000002</v>
      </c>
      <c r="S407" t="str">
        <f t="shared" si="25"/>
        <v>January</v>
      </c>
      <c r="T407">
        <f t="shared" si="26"/>
        <v>1</v>
      </c>
      <c r="U407" t="str">
        <f t="shared" si="27"/>
        <v>Saturday</v>
      </c>
    </row>
    <row r="408" spans="1:21" x14ac:dyDescent="0.2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4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  <c r="R408" s="6">
        <f t="shared" si="24"/>
        <v>68.949999999999989</v>
      </c>
      <c r="S408" t="str">
        <f t="shared" si="25"/>
        <v>November</v>
      </c>
      <c r="T408">
        <f t="shared" si="26"/>
        <v>11</v>
      </c>
      <c r="U408" t="str">
        <f t="shared" si="27"/>
        <v>Friday</v>
      </c>
    </row>
    <row r="409" spans="1:21" x14ac:dyDescent="0.2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4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  <c r="R409" s="6">
        <f t="shared" si="24"/>
        <v>274.83999999999997</v>
      </c>
      <c r="S409" t="str">
        <f t="shared" si="25"/>
        <v>April</v>
      </c>
      <c r="T409">
        <f t="shared" si="26"/>
        <v>4</v>
      </c>
      <c r="U409" t="str">
        <f t="shared" si="27"/>
        <v>Monday</v>
      </c>
    </row>
    <row r="410" spans="1:21" x14ac:dyDescent="0.2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4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  <c r="R410" s="6">
        <f t="shared" si="24"/>
        <v>226.12</v>
      </c>
      <c r="S410" t="str">
        <f t="shared" si="25"/>
        <v>April</v>
      </c>
      <c r="T410">
        <f t="shared" si="26"/>
        <v>4</v>
      </c>
      <c r="U410" t="str">
        <f t="shared" si="27"/>
        <v>Wednesday</v>
      </c>
    </row>
    <row r="411" spans="1:21" x14ac:dyDescent="0.2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4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  <c r="R411" s="6">
        <f t="shared" si="24"/>
        <v>119.1</v>
      </c>
      <c r="S411" t="str">
        <f t="shared" si="25"/>
        <v>January</v>
      </c>
      <c r="T411">
        <f t="shared" si="26"/>
        <v>1</v>
      </c>
      <c r="U411" t="str">
        <f t="shared" si="27"/>
        <v>Monday</v>
      </c>
    </row>
    <row r="412" spans="1:21" x14ac:dyDescent="0.2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4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  <c r="R412" s="6">
        <f t="shared" si="24"/>
        <v>342.1</v>
      </c>
      <c r="S412" t="str">
        <f t="shared" si="25"/>
        <v>February</v>
      </c>
      <c r="T412">
        <f t="shared" si="26"/>
        <v>2</v>
      </c>
      <c r="U412" t="str">
        <f t="shared" si="27"/>
        <v>Friday</v>
      </c>
    </row>
    <row r="413" spans="1:21" x14ac:dyDescent="0.2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4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  <c r="R413" s="6">
        <f t="shared" si="24"/>
        <v>43.74</v>
      </c>
      <c r="S413" t="str">
        <f t="shared" si="25"/>
        <v>January</v>
      </c>
      <c r="T413">
        <f t="shared" si="26"/>
        <v>1</v>
      </c>
      <c r="U413" t="str">
        <f t="shared" si="27"/>
        <v>Friday</v>
      </c>
    </row>
    <row r="414" spans="1:21" x14ac:dyDescent="0.2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4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  <c r="R414" s="6">
        <f t="shared" si="24"/>
        <v>104.85</v>
      </c>
      <c r="S414" t="str">
        <f t="shared" si="25"/>
        <v>April</v>
      </c>
      <c r="T414">
        <f t="shared" si="26"/>
        <v>4</v>
      </c>
      <c r="U414" t="str">
        <f t="shared" si="27"/>
        <v>Monday</v>
      </c>
    </row>
    <row r="415" spans="1:21" x14ac:dyDescent="0.2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4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  <c r="R415" s="6">
        <f t="shared" si="24"/>
        <v>77.52</v>
      </c>
      <c r="S415" t="str">
        <f t="shared" si="25"/>
        <v>October</v>
      </c>
      <c r="T415">
        <f t="shared" si="26"/>
        <v>10</v>
      </c>
      <c r="U415" t="str">
        <f t="shared" si="27"/>
        <v>Thursday</v>
      </c>
    </row>
    <row r="416" spans="1:21" x14ac:dyDescent="0.2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4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  <c r="R416" s="6">
        <f t="shared" si="24"/>
        <v>407.44</v>
      </c>
      <c r="S416" t="str">
        <f t="shared" si="25"/>
        <v>March</v>
      </c>
      <c r="T416">
        <f t="shared" si="26"/>
        <v>3</v>
      </c>
      <c r="U416" t="str">
        <f t="shared" si="27"/>
        <v>Friday</v>
      </c>
    </row>
    <row r="417" spans="1:21" x14ac:dyDescent="0.2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4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  <c r="R417" s="6">
        <f t="shared" si="24"/>
        <v>96.11</v>
      </c>
      <c r="S417" t="str">
        <f t="shared" si="25"/>
        <v>January</v>
      </c>
      <c r="T417">
        <f t="shared" si="26"/>
        <v>1</v>
      </c>
      <c r="U417" t="str">
        <f t="shared" si="27"/>
        <v>Friday</v>
      </c>
    </row>
    <row r="418" spans="1:21" x14ac:dyDescent="0.2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4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  <c r="R418" s="6">
        <f t="shared" si="24"/>
        <v>181.52</v>
      </c>
      <c r="S418" t="str">
        <f t="shared" si="25"/>
        <v>August</v>
      </c>
      <c r="T418">
        <f t="shared" si="26"/>
        <v>8</v>
      </c>
      <c r="U418" t="str">
        <f t="shared" si="27"/>
        <v>Thursday</v>
      </c>
    </row>
    <row r="419" spans="1:21" x14ac:dyDescent="0.2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4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  <c r="R419" s="6">
        <f t="shared" si="24"/>
        <v>81.510000000000005</v>
      </c>
      <c r="S419" t="str">
        <f t="shared" si="25"/>
        <v>January</v>
      </c>
      <c r="T419">
        <f t="shared" si="26"/>
        <v>1</v>
      </c>
      <c r="U419" t="str">
        <f t="shared" si="27"/>
        <v>Tuesday</v>
      </c>
    </row>
    <row r="420" spans="1:21" x14ac:dyDescent="0.2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4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  <c r="R420" s="6">
        <f t="shared" si="24"/>
        <v>114.44</v>
      </c>
      <c r="S420" t="str">
        <f t="shared" si="25"/>
        <v>December</v>
      </c>
      <c r="T420">
        <f t="shared" si="26"/>
        <v>12</v>
      </c>
      <c r="U420" t="str">
        <f t="shared" si="27"/>
        <v>Sunday</v>
      </c>
    </row>
    <row r="421" spans="1:21" x14ac:dyDescent="0.2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4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  <c r="R421" s="6">
        <f t="shared" si="24"/>
        <v>176.54</v>
      </c>
      <c r="S421" t="str">
        <f t="shared" si="25"/>
        <v>April</v>
      </c>
      <c r="T421">
        <f t="shared" si="26"/>
        <v>4</v>
      </c>
      <c r="U421" t="str">
        <f t="shared" si="27"/>
        <v>Tuesday</v>
      </c>
    </row>
    <row r="422" spans="1:21" x14ac:dyDescent="0.2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4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  <c r="R422" s="6">
        <f t="shared" si="24"/>
        <v>115.80000000000001</v>
      </c>
      <c r="S422" t="str">
        <f t="shared" si="25"/>
        <v>March</v>
      </c>
      <c r="T422">
        <f t="shared" si="26"/>
        <v>3</v>
      </c>
      <c r="U422" t="str">
        <f t="shared" si="27"/>
        <v>Thursday</v>
      </c>
    </row>
    <row r="423" spans="1:21" x14ac:dyDescent="0.2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4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  <c r="R423" s="6">
        <f t="shared" si="24"/>
        <v>252.14999999999998</v>
      </c>
      <c r="S423" t="str">
        <f t="shared" si="25"/>
        <v>January</v>
      </c>
      <c r="T423">
        <f t="shared" si="26"/>
        <v>1</v>
      </c>
      <c r="U423" t="str">
        <f t="shared" si="27"/>
        <v>Wednesday</v>
      </c>
    </row>
    <row r="424" spans="1:21" x14ac:dyDescent="0.2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4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  <c r="R424" s="6">
        <f t="shared" si="24"/>
        <v>972.09999999999991</v>
      </c>
      <c r="S424" t="str">
        <f t="shared" si="25"/>
        <v>August</v>
      </c>
      <c r="T424">
        <f t="shared" si="26"/>
        <v>8</v>
      </c>
      <c r="U424" t="str">
        <f t="shared" si="27"/>
        <v>Friday</v>
      </c>
    </row>
    <row r="425" spans="1:21" x14ac:dyDescent="0.2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4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  <c r="R425" s="6">
        <f t="shared" si="24"/>
        <v>203.36</v>
      </c>
      <c r="S425" t="str">
        <f t="shared" si="25"/>
        <v>March</v>
      </c>
      <c r="T425">
        <f t="shared" si="26"/>
        <v>3</v>
      </c>
      <c r="U425" t="str">
        <f t="shared" si="27"/>
        <v>Tuesday</v>
      </c>
    </row>
    <row r="426" spans="1:21" x14ac:dyDescent="0.2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4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  <c r="R426" s="6">
        <f t="shared" si="24"/>
        <v>16.28</v>
      </c>
      <c r="S426" t="str">
        <f t="shared" si="25"/>
        <v>September</v>
      </c>
      <c r="T426">
        <f t="shared" si="26"/>
        <v>9</v>
      </c>
      <c r="U426" t="str">
        <f t="shared" si="27"/>
        <v>Tuesday</v>
      </c>
    </row>
    <row r="427" spans="1:21" x14ac:dyDescent="0.2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4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  <c r="R427" s="6">
        <f t="shared" si="24"/>
        <v>365.49</v>
      </c>
      <c r="S427" t="str">
        <f t="shared" si="25"/>
        <v>February</v>
      </c>
      <c r="T427">
        <f t="shared" si="26"/>
        <v>2</v>
      </c>
      <c r="U427" t="str">
        <f t="shared" si="27"/>
        <v>Friday</v>
      </c>
    </row>
    <row r="428" spans="1:21" x14ac:dyDescent="0.2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4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  <c r="R428" s="6">
        <f t="shared" si="24"/>
        <v>372.19</v>
      </c>
      <c r="S428" t="str">
        <f t="shared" si="25"/>
        <v>January</v>
      </c>
      <c r="T428">
        <f t="shared" si="26"/>
        <v>1</v>
      </c>
      <c r="U428" t="str">
        <f t="shared" si="27"/>
        <v>Monday</v>
      </c>
    </row>
    <row r="429" spans="1:21" x14ac:dyDescent="0.2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4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  <c r="R429" s="6">
        <f t="shared" si="24"/>
        <v>62.61</v>
      </c>
      <c r="S429" t="str">
        <f t="shared" si="25"/>
        <v>March</v>
      </c>
      <c r="T429">
        <f t="shared" si="26"/>
        <v>3</v>
      </c>
      <c r="U429" t="str">
        <f t="shared" si="27"/>
        <v>Wednesday</v>
      </c>
    </row>
    <row r="430" spans="1:21" x14ac:dyDescent="0.2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4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  <c r="R430" s="6">
        <f t="shared" si="24"/>
        <v>336.34999999999997</v>
      </c>
      <c r="S430" t="str">
        <f t="shared" si="25"/>
        <v>February</v>
      </c>
      <c r="T430">
        <f t="shared" si="26"/>
        <v>2</v>
      </c>
      <c r="U430" t="str">
        <f t="shared" si="27"/>
        <v>Wednesday</v>
      </c>
    </row>
    <row r="431" spans="1:21" x14ac:dyDescent="0.2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4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  <c r="R431" s="6">
        <f t="shared" si="24"/>
        <v>906.5</v>
      </c>
      <c r="S431" t="str">
        <f t="shared" si="25"/>
        <v>August</v>
      </c>
      <c r="T431">
        <f t="shared" si="26"/>
        <v>8</v>
      </c>
      <c r="U431" t="str">
        <f t="shared" si="27"/>
        <v>Saturday</v>
      </c>
    </row>
    <row r="432" spans="1:21" x14ac:dyDescent="0.2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4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  <c r="R432" s="6">
        <f t="shared" si="24"/>
        <v>138.16</v>
      </c>
      <c r="S432" t="str">
        <f t="shared" si="25"/>
        <v>January</v>
      </c>
      <c r="T432">
        <f t="shared" si="26"/>
        <v>1</v>
      </c>
      <c r="U432" t="str">
        <f t="shared" si="27"/>
        <v>Thursday</v>
      </c>
    </row>
    <row r="433" spans="1:21" x14ac:dyDescent="0.2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4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  <c r="R433" s="6">
        <f t="shared" si="24"/>
        <v>86.54</v>
      </c>
      <c r="S433" t="str">
        <f t="shared" si="25"/>
        <v>August</v>
      </c>
      <c r="T433">
        <f t="shared" si="26"/>
        <v>8</v>
      </c>
      <c r="U433" t="str">
        <f t="shared" si="27"/>
        <v>Saturday</v>
      </c>
    </row>
    <row r="434" spans="1:21" x14ac:dyDescent="0.2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4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  <c r="R434" s="6">
        <f t="shared" si="24"/>
        <v>140.76</v>
      </c>
      <c r="S434" t="str">
        <f t="shared" si="25"/>
        <v>January</v>
      </c>
      <c r="T434">
        <f t="shared" si="26"/>
        <v>1</v>
      </c>
      <c r="U434" t="str">
        <f t="shared" si="27"/>
        <v>Sunday</v>
      </c>
    </row>
    <row r="435" spans="1:21" x14ac:dyDescent="0.2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4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  <c r="R435" s="6">
        <f t="shared" si="24"/>
        <v>668.78000000000009</v>
      </c>
      <c r="S435" t="str">
        <f t="shared" si="25"/>
        <v>September</v>
      </c>
      <c r="T435">
        <f t="shared" si="26"/>
        <v>9</v>
      </c>
      <c r="U435" t="str">
        <f t="shared" si="27"/>
        <v>Tuesday</v>
      </c>
    </row>
    <row r="436" spans="1:21" x14ac:dyDescent="0.2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4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  <c r="R436" s="6">
        <f t="shared" si="24"/>
        <v>47.44</v>
      </c>
      <c r="S436" t="str">
        <f t="shared" si="25"/>
        <v>February</v>
      </c>
      <c r="T436">
        <f t="shared" si="26"/>
        <v>2</v>
      </c>
      <c r="U436" t="str">
        <f t="shared" si="27"/>
        <v>Friday</v>
      </c>
    </row>
    <row r="437" spans="1:21" x14ac:dyDescent="0.2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4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  <c r="R437" s="6">
        <f t="shared" si="24"/>
        <v>893.16</v>
      </c>
      <c r="S437" t="str">
        <f t="shared" si="25"/>
        <v>March</v>
      </c>
      <c r="T437">
        <f t="shared" si="26"/>
        <v>3</v>
      </c>
      <c r="U437" t="str">
        <f t="shared" si="27"/>
        <v>Tuesday</v>
      </c>
    </row>
    <row r="438" spans="1:21" x14ac:dyDescent="0.2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4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  <c r="R438" s="6">
        <f t="shared" si="24"/>
        <v>331.72</v>
      </c>
      <c r="S438" t="str">
        <f t="shared" si="25"/>
        <v>January</v>
      </c>
      <c r="T438">
        <f t="shared" si="26"/>
        <v>1</v>
      </c>
      <c r="U438" t="str">
        <f t="shared" si="27"/>
        <v>Sunday</v>
      </c>
    </row>
    <row r="439" spans="1:21" x14ac:dyDescent="0.2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4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  <c r="R439" s="6">
        <f t="shared" si="24"/>
        <v>203.94</v>
      </c>
      <c r="S439" t="str">
        <f t="shared" si="25"/>
        <v>August</v>
      </c>
      <c r="T439">
        <f t="shared" si="26"/>
        <v>8</v>
      </c>
      <c r="U439" t="str">
        <f t="shared" si="27"/>
        <v>Saturday</v>
      </c>
    </row>
    <row r="440" spans="1:21" x14ac:dyDescent="0.2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4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  <c r="R440" s="6">
        <f t="shared" si="24"/>
        <v>68.16</v>
      </c>
      <c r="S440" t="str">
        <f t="shared" si="25"/>
        <v>August</v>
      </c>
      <c r="T440">
        <f t="shared" si="26"/>
        <v>8</v>
      </c>
      <c r="U440" t="str">
        <f t="shared" si="27"/>
        <v>Saturday</v>
      </c>
    </row>
    <row r="441" spans="1:21" x14ac:dyDescent="0.2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4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  <c r="R441" s="6">
        <f t="shared" si="24"/>
        <v>326.88</v>
      </c>
      <c r="S441" t="str">
        <f t="shared" si="25"/>
        <v>July</v>
      </c>
      <c r="T441">
        <f t="shared" si="26"/>
        <v>7</v>
      </c>
      <c r="U441" t="str">
        <f t="shared" si="27"/>
        <v>Tuesday</v>
      </c>
    </row>
    <row r="442" spans="1:21" x14ac:dyDescent="0.2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4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  <c r="R442" s="6">
        <f t="shared" si="24"/>
        <v>87.2</v>
      </c>
      <c r="S442" t="str">
        <f t="shared" si="25"/>
        <v>January</v>
      </c>
      <c r="T442">
        <f t="shared" si="26"/>
        <v>1</v>
      </c>
      <c r="U442" t="str">
        <f t="shared" si="27"/>
        <v>Tuesday</v>
      </c>
    </row>
    <row r="443" spans="1:21" x14ac:dyDescent="0.2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4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  <c r="R443" s="6">
        <f t="shared" si="24"/>
        <v>707.44</v>
      </c>
      <c r="S443" t="str">
        <f t="shared" si="25"/>
        <v>March</v>
      </c>
      <c r="T443">
        <f t="shared" si="26"/>
        <v>3</v>
      </c>
      <c r="U443" t="str">
        <f t="shared" si="27"/>
        <v>Friday</v>
      </c>
    </row>
    <row r="444" spans="1:21" x14ac:dyDescent="0.2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4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  <c r="R444" s="6">
        <f t="shared" si="24"/>
        <v>802.89</v>
      </c>
      <c r="S444" t="str">
        <f t="shared" si="25"/>
        <v>January</v>
      </c>
      <c r="T444">
        <f t="shared" si="26"/>
        <v>1</v>
      </c>
      <c r="U444" t="str">
        <f t="shared" si="27"/>
        <v>Tuesday</v>
      </c>
    </row>
    <row r="445" spans="1:21" x14ac:dyDescent="0.2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4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  <c r="R445" s="6">
        <f t="shared" si="24"/>
        <v>12.78</v>
      </c>
      <c r="S445" t="str">
        <f t="shared" si="25"/>
        <v>August</v>
      </c>
      <c r="T445">
        <f t="shared" si="26"/>
        <v>8</v>
      </c>
      <c r="U445" t="str">
        <f t="shared" si="27"/>
        <v>Thursday</v>
      </c>
    </row>
    <row r="446" spans="1:21" x14ac:dyDescent="0.2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4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  <c r="R446" s="6">
        <f t="shared" si="24"/>
        <v>133.70000000000002</v>
      </c>
      <c r="S446" t="str">
        <f t="shared" si="25"/>
        <v>January</v>
      </c>
      <c r="T446">
        <f t="shared" si="26"/>
        <v>1</v>
      </c>
      <c r="U446" t="str">
        <f t="shared" si="27"/>
        <v>Tuesday</v>
      </c>
    </row>
    <row r="447" spans="1:21" x14ac:dyDescent="0.2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4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  <c r="R447" s="6">
        <f t="shared" si="24"/>
        <v>19.149999999999999</v>
      </c>
      <c r="S447" t="str">
        <f t="shared" si="25"/>
        <v>January</v>
      </c>
      <c r="T447">
        <f t="shared" si="26"/>
        <v>1</v>
      </c>
      <c r="U447" t="str">
        <f t="shared" si="27"/>
        <v>Monday</v>
      </c>
    </row>
    <row r="448" spans="1:21" x14ac:dyDescent="0.2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4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  <c r="R448" s="6">
        <f t="shared" si="24"/>
        <v>276.60000000000002</v>
      </c>
      <c r="S448" t="str">
        <f t="shared" si="25"/>
        <v>February</v>
      </c>
      <c r="T448">
        <f t="shared" si="26"/>
        <v>2</v>
      </c>
      <c r="U448" t="str">
        <f t="shared" si="27"/>
        <v>Thursday</v>
      </c>
    </row>
    <row r="449" spans="1:21" x14ac:dyDescent="0.2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4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  <c r="R449" s="6">
        <f t="shared" si="24"/>
        <v>137.22</v>
      </c>
      <c r="S449" t="str">
        <f t="shared" si="25"/>
        <v>October</v>
      </c>
      <c r="T449">
        <f t="shared" si="26"/>
        <v>10</v>
      </c>
      <c r="U449" t="str">
        <f t="shared" si="27"/>
        <v>Thursday</v>
      </c>
    </row>
    <row r="450" spans="1:21" x14ac:dyDescent="0.2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4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  <c r="R450" s="6">
        <f t="shared" si="24"/>
        <v>27.07</v>
      </c>
      <c r="S450" t="str">
        <f t="shared" si="25"/>
        <v>December</v>
      </c>
      <c r="T450">
        <f t="shared" si="26"/>
        <v>12</v>
      </c>
      <c r="U450" t="str">
        <f t="shared" si="27"/>
        <v>Sunday</v>
      </c>
    </row>
    <row r="451" spans="1:21" x14ac:dyDescent="0.2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4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  <c r="R451" s="6">
        <f t="shared" ref="R451:R514" si="28">H451*G451</f>
        <v>39.119999999999997</v>
      </c>
      <c r="S451" t="str">
        <f t="shared" ref="S451:S514" si="29">TEXT(K451,"mmmm")</f>
        <v>March</v>
      </c>
      <c r="T451">
        <f t="shared" ref="T451:T514" si="30">MONTH(K451)</f>
        <v>3</v>
      </c>
      <c r="U451" t="str">
        <f t="shared" ref="U451:U514" si="31">TEXT(K451,"dddd")</f>
        <v>Tuesday</v>
      </c>
    </row>
    <row r="452" spans="1:21" x14ac:dyDescent="0.2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4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  <c r="R452" s="6">
        <f t="shared" si="28"/>
        <v>448.26</v>
      </c>
      <c r="S452" t="str">
        <f t="shared" si="29"/>
        <v>January</v>
      </c>
      <c r="T452">
        <f t="shared" si="30"/>
        <v>1</v>
      </c>
      <c r="U452" t="str">
        <f t="shared" si="31"/>
        <v>Tuesday</v>
      </c>
    </row>
    <row r="453" spans="1:21" x14ac:dyDescent="0.2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4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  <c r="R453" s="6">
        <f t="shared" si="28"/>
        <v>132.06</v>
      </c>
      <c r="S453" t="str">
        <f t="shared" si="29"/>
        <v>February</v>
      </c>
      <c r="T453">
        <f t="shared" si="30"/>
        <v>2</v>
      </c>
      <c r="U453" t="str">
        <f t="shared" si="31"/>
        <v>Friday</v>
      </c>
    </row>
    <row r="454" spans="1:21" x14ac:dyDescent="0.2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4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  <c r="R454" s="6">
        <f t="shared" si="28"/>
        <v>318.05</v>
      </c>
      <c r="S454" t="str">
        <f t="shared" si="29"/>
        <v>March</v>
      </c>
      <c r="T454">
        <f t="shared" si="30"/>
        <v>3</v>
      </c>
      <c r="U454" t="str">
        <f t="shared" si="31"/>
        <v>Saturday</v>
      </c>
    </row>
    <row r="455" spans="1:21" x14ac:dyDescent="0.2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4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  <c r="R455" s="6">
        <f t="shared" si="28"/>
        <v>25</v>
      </c>
      <c r="S455" t="str">
        <f t="shared" si="29"/>
        <v>March</v>
      </c>
      <c r="T455">
        <f t="shared" si="30"/>
        <v>3</v>
      </c>
      <c r="U455" t="str">
        <f t="shared" si="31"/>
        <v>Sunday</v>
      </c>
    </row>
    <row r="456" spans="1:21" x14ac:dyDescent="0.2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4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  <c r="R456" s="6">
        <f t="shared" si="28"/>
        <v>83.08</v>
      </c>
      <c r="S456" t="str">
        <f t="shared" si="29"/>
        <v>January</v>
      </c>
      <c r="T456">
        <f t="shared" si="30"/>
        <v>1</v>
      </c>
      <c r="U456" t="str">
        <f t="shared" si="31"/>
        <v>Thursday</v>
      </c>
    </row>
    <row r="457" spans="1:21" x14ac:dyDescent="0.2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4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  <c r="R457" s="6">
        <f t="shared" si="28"/>
        <v>147.79999999999998</v>
      </c>
      <c r="S457" t="str">
        <f t="shared" si="29"/>
        <v>February</v>
      </c>
      <c r="T457">
        <f t="shared" si="30"/>
        <v>2</v>
      </c>
      <c r="U457" t="str">
        <f t="shared" si="31"/>
        <v>Wednesday</v>
      </c>
    </row>
    <row r="458" spans="1:21" x14ac:dyDescent="0.2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4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  <c r="R458" s="6">
        <f t="shared" si="28"/>
        <v>696.6</v>
      </c>
      <c r="S458" t="str">
        <f t="shared" si="29"/>
        <v>February</v>
      </c>
      <c r="T458">
        <f t="shared" si="30"/>
        <v>2</v>
      </c>
      <c r="U458" t="str">
        <f t="shared" si="31"/>
        <v>Friday</v>
      </c>
    </row>
    <row r="459" spans="1:21" x14ac:dyDescent="0.2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4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  <c r="R459" s="6">
        <f t="shared" si="28"/>
        <v>793.9</v>
      </c>
      <c r="S459" t="str">
        <f t="shared" si="29"/>
        <v>July</v>
      </c>
      <c r="T459">
        <f t="shared" si="30"/>
        <v>7</v>
      </c>
      <c r="U459" t="str">
        <f t="shared" si="31"/>
        <v>Tuesday</v>
      </c>
    </row>
    <row r="460" spans="1:21" x14ac:dyDescent="0.2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4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  <c r="R460" s="6">
        <f t="shared" si="28"/>
        <v>465.7</v>
      </c>
      <c r="S460" t="str">
        <f t="shared" si="29"/>
        <v>January</v>
      </c>
      <c r="T460">
        <f t="shared" si="30"/>
        <v>1</v>
      </c>
      <c r="U460" t="str">
        <f t="shared" si="31"/>
        <v>Sunday</v>
      </c>
    </row>
    <row r="461" spans="1:21" x14ac:dyDescent="0.2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4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  <c r="R461" s="6">
        <f t="shared" si="28"/>
        <v>35.89</v>
      </c>
      <c r="S461" t="str">
        <f t="shared" si="29"/>
        <v>February</v>
      </c>
      <c r="T461">
        <f t="shared" si="30"/>
        <v>2</v>
      </c>
      <c r="U461" t="str">
        <f t="shared" si="31"/>
        <v>Saturday</v>
      </c>
    </row>
    <row r="462" spans="1:21" x14ac:dyDescent="0.2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4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  <c r="R462" s="6">
        <f t="shared" si="28"/>
        <v>202.60000000000002</v>
      </c>
      <c r="S462" t="str">
        <f t="shared" si="29"/>
        <v>March</v>
      </c>
      <c r="T462">
        <f t="shared" si="30"/>
        <v>3</v>
      </c>
      <c r="U462" t="str">
        <f t="shared" si="31"/>
        <v>Saturday</v>
      </c>
    </row>
    <row r="463" spans="1:21" x14ac:dyDescent="0.2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4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  <c r="R463" s="6">
        <f t="shared" si="28"/>
        <v>730.5</v>
      </c>
      <c r="S463" t="str">
        <f t="shared" si="29"/>
        <v>March</v>
      </c>
      <c r="T463">
        <f t="shared" si="30"/>
        <v>3</v>
      </c>
      <c r="U463" t="str">
        <f t="shared" si="31"/>
        <v>Sunday</v>
      </c>
    </row>
    <row r="464" spans="1:21" x14ac:dyDescent="0.2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4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  <c r="R464" s="6">
        <f t="shared" si="28"/>
        <v>295.8</v>
      </c>
      <c r="S464" t="str">
        <f t="shared" si="29"/>
        <v>March</v>
      </c>
      <c r="T464">
        <f t="shared" si="30"/>
        <v>3</v>
      </c>
      <c r="U464" t="str">
        <f t="shared" si="31"/>
        <v>Saturday</v>
      </c>
    </row>
    <row r="465" spans="1:21" x14ac:dyDescent="0.2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4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  <c r="R465" s="6">
        <f t="shared" si="28"/>
        <v>22.62</v>
      </c>
      <c r="S465" t="str">
        <f t="shared" si="29"/>
        <v>March</v>
      </c>
      <c r="T465">
        <f t="shared" si="30"/>
        <v>3</v>
      </c>
      <c r="U465" t="str">
        <f t="shared" si="31"/>
        <v>Sunday</v>
      </c>
    </row>
    <row r="466" spans="1:21" x14ac:dyDescent="0.2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4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  <c r="R466" s="6">
        <f t="shared" si="28"/>
        <v>256.70000000000005</v>
      </c>
      <c r="S466" t="str">
        <f t="shared" si="29"/>
        <v>March</v>
      </c>
      <c r="T466">
        <f t="shared" si="30"/>
        <v>3</v>
      </c>
      <c r="U466" t="str">
        <f t="shared" si="31"/>
        <v>Thursday</v>
      </c>
    </row>
    <row r="467" spans="1:21" x14ac:dyDescent="0.2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4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  <c r="R467" s="6">
        <f t="shared" si="28"/>
        <v>545.5</v>
      </c>
      <c r="S467" t="str">
        <f t="shared" si="29"/>
        <v>February</v>
      </c>
      <c r="T467">
        <f t="shared" si="30"/>
        <v>2</v>
      </c>
      <c r="U467" t="str">
        <f t="shared" si="31"/>
        <v>Sunday</v>
      </c>
    </row>
    <row r="468" spans="1:21" x14ac:dyDescent="0.2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4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  <c r="R468" s="6">
        <f t="shared" si="28"/>
        <v>260.05</v>
      </c>
      <c r="S468" t="str">
        <f t="shared" si="29"/>
        <v>August</v>
      </c>
      <c r="T468">
        <f t="shared" si="30"/>
        <v>8</v>
      </c>
      <c r="U468" t="str">
        <f t="shared" si="31"/>
        <v>Friday</v>
      </c>
    </row>
    <row r="469" spans="1:21" x14ac:dyDescent="0.2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4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  <c r="R469" s="6">
        <f t="shared" si="28"/>
        <v>222.12</v>
      </c>
      <c r="S469" t="str">
        <f t="shared" si="29"/>
        <v>March</v>
      </c>
      <c r="T469">
        <f t="shared" si="30"/>
        <v>3</v>
      </c>
      <c r="U469" t="str">
        <f t="shared" si="31"/>
        <v>Friday</v>
      </c>
    </row>
    <row r="470" spans="1:21" x14ac:dyDescent="0.2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4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  <c r="R470" s="6">
        <f t="shared" si="28"/>
        <v>21.58</v>
      </c>
      <c r="S470" t="str">
        <f t="shared" si="29"/>
        <v>September</v>
      </c>
      <c r="T470">
        <f t="shared" si="30"/>
        <v>9</v>
      </c>
      <c r="U470" t="str">
        <f t="shared" si="31"/>
        <v>Monday</v>
      </c>
    </row>
    <row r="471" spans="1:21" x14ac:dyDescent="0.2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4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  <c r="R471" s="6">
        <f t="shared" si="28"/>
        <v>98.84</v>
      </c>
      <c r="S471" t="str">
        <f t="shared" si="29"/>
        <v>February</v>
      </c>
      <c r="T471">
        <f t="shared" si="30"/>
        <v>2</v>
      </c>
      <c r="U471" t="str">
        <f t="shared" si="31"/>
        <v>Friday</v>
      </c>
    </row>
    <row r="472" spans="1:21" x14ac:dyDescent="0.2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4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  <c r="R472" s="6">
        <f t="shared" si="28"/>
        <v>502.62</v>
      </c>
      <c r="S472" t="str">
        <f t="shared" si="29"/>
        <v>January</v>
      </c>
      <c r="T472">
        <f t="shared" si="30"/>
        <v>1</v>
      </c>
      <c r="U472" t="str">
        <f t="shared" si="31"/>
        <v>Wednesday</v>
      </c>
    </row>
    <row r="473" spans="1:21" x14ac:dyDescent="0.2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4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  <c r="R473" s="6">
        <f t="shared" si="28"/>
        <v>160.19999999999999</v>
      </c>
      <c r="S473" t="str">
        <f t="shared" si="29"/>
        <v>January</v>
      </c>
      <c r="T473">
        <f t="shared" si="30"/>
        <v>1</v>
      </c>
      <c r="U473" t="str">
        <f t="shared" si="31"/>
        <v>Friday</v>
      </c>
    </row>
    <row r="474" spans="1:21" x14ac:dyDescent="0.2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4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  <c r="R474" s="6">
        <f t="shared" si="28"/>
        <v>431.3</v>
      </c>
      <c r="S474" t="str">
        <f t="shared" si="29"/>
        <v>February</v>
      </c>
      <c r="T474">
        <f t="shared" si="30"/>
        <v>2</v>
      </c>
      <c r="U474" t="str">
        <f t="shared" si="31"/>
        <v>Saturday</v>
      </c>
    </row>
    <row r="475" spans="1:21" x14ac:dyDescent="0.2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4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  <c r="R475" s="6">
        <f t="shared" si="28"/>
        <v>580.55999999999995</v>
      </c>
      <c r="S475" t="str">
        <f t="shared" si="29"/>
        <v>March</v>
      </c>
      <c r="T475">
        <f t="shared" si="30"/>
        <v>3</v>
      </c>
      <c r="U475" t="str">
        <f t="shared" si="31"/>
        <v>Saturday</v>
      </c>
    </row>
    <row r="476" spans="1:21" x14ac:dyDescent="0.2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4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  <c r="R476" s="6">
        <f t="shared" si="28"/>
        <v>322.2</v>
      </c>
      <c r="S476" t="str">
        <f t="shared" si="29"/>
        <v>March</v>
      </c>
      <c r="T476">
        <f t="shared" si="30"/>
        <v>3</v>
      </c>
      <c r="U476" t="str">
        <f t="shared" si="31"/>
        <v>Saturday</v>
      </c>
    </row>
    <row r="477" spans="1:21" x14ac:dyDescent="0.2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4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  <c r="R477" s="6">
        <f t="shared" si="28"/>
        <v>195.54000000000002</v>
      </c>
      <c r="S477" t="str">
        <f t="shared" si="29"/>
        <v>February</v>
      </c>
      <c r="T477">
        <f t="shared" si="30"/>
        <v>2</v>
      </c>
      <c r="U477" t="str">
        <f t="shared" si="31"/>
        <v>Monday</v>
      </c>
    </row>
    <row r="478" spans="1:21" x14ac:dyDescent="0.2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4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  <c r="R478" s="6">
        <f t="shared" si="28"/>
        <v>166.29999999999998</v>
      </c>
      <c r="S478" t="str">
        <f t="shared" si="29"/>
        <v>March</v>
      </c>
      <c r="T478">
        <f t="shared" si="30"/>
        <v>3</v>
      </c>
      <c r="U478" t="str">
        <f t="shared" si="31"/>
        <v>Monday</v>
      </c>
    </row>
    <row r="479" spans="1:21" x14ac:dyDescent="0.2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4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  <c r="R479" s="6">
        <f t="shared" si="28"/>
        <v>336.28</v>
      </c>
      <c r="S479" t="str">
        <f t="shared" si="29"/>
        <v>July</v>
      </c>
      <c r="T479">
        <f t="shared" si="30"/>
        <v>7</v>
      </c>
      <c r="U479" t="str">
        <f t="shared" si="31"/>
        <v>Wednesday</v>
      </c>
    </row>
    <row r="480" spans="1:21" x14ac:dyDescent="0.2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4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  <c r="R480" s="6">
        <f t="shared" si="28"/>
        <v>343.7</v>
      </c>
      <c r="S480" t="str">
        <f t="shared" si="29"/>
        <v>March</v>
      </c>
      <c r="T480">
        <f t="shared" si="30"/>
        <v>3</v>
      </c>
      <c r="U480" t="str">
        <f t="shared" si="31"/>
        <v>Saturday</v>
      </c>
    </row>
    <row r="481" spans="1:21" x14ac:dyDescent="0.2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4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  <c r="R481" s="6">
        <f t="shared" si="28"/>
        <v>38.6</v>
      </c>
      <c r="S481" t="str">
        <f t="shared" si="29"/>
        <v>January</v>
      </c>
      <c r="T481">
        <f t="shared" si="30"/>
        <v>1</v>
      </c>
      <c r="U481" t="str">
        <f t="shared" si="31"/>
        <v>Tuesday</v>
      </c>
    </row>
    <row r="482" spans="1:21" x14ac:dyDescent="0.2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4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  <c r="R482" s="6">
        <f t="shared" si="28"/>
        <v>527.76</v>
      </c>
      <c r="S482" t="str">
        <f t="shared" si="29"/>
        <v>February</v>
      </c>
      <c r="T482">
        <f t="shared" si="30"/>
        <v>2</v>
      </c>
      <c r="U482" t="str">
        <f t="shared" si="31"/>
        <v>Saturday</v>
      </c>
    </row>
    <row r="483" spans="1:21" x14ac:dyDescent="0.2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4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  <c r="R483" s="6">
        <f t="shared" si="28"/>
        <v>328</v>
      </c>
      <c r="S483" t="str">
        <f t="shared" si="29"/>
        <v>February</v>
      </c>
      <c r="T483">
        <f t="shared" si="30"/>
        <v>2</v>
      </c>
      <c r="U483" t="str">
        <f t="shared" si="31"/>
        <v>Friday</v>
      </c>
    </row>
    <row r="484" spans="1:21" x14ac:dyDescent="0.2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4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  <c r="R484" s="6">
        <f t="shared" si="28"/>
        <v>185.7</v>
      </c>
      <c r="S484" t="str">
        <f t="shared" si="29"/>
        <v>August</v>
      </c>
      <c r="T484">
        <f t="shared" si="30"/>
        <v>8</v>
      </c>
      <c r="U484" t="str">
        <f t="shared" si="31"/>
        <v>Thursday</v>
      </c>
    </row>
    <row r="485" spans="1:21" x14ac:dyDescent="0.2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4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  <c r="R485" s="6">
        <f t="shared" si="28"/>
        <v>603.80000000000007</v>
      </c>
      <c r="S485" t="str">
        <f t="shared" si="29"/>
        <v>December</v>
      </c>
      <c r="T485">
        <f t="shared" si="30"/>
        <v>12</v>
      </c>
      <c r="U485" t="str">
        <f t="shared" si="31"/>
        <v>Monday</v>
      </c>
    </row>
    <row r="486" spans="1:21" x14ac:dyDescent="0.2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4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  <c r="R486" s="6">
        <f t="shared" si="28"/>
        <v>369.79999999999995</v>
      </c>
      <c r="S486" t="str">
        <f t="shared" si="29"/>
        <v>January</v>
      </c>
      <c r="T486">
        <f t="shared" si="30"/>
        <v>1</v>
      </c>
      <c r="U486" t="str">
        <f t="shared" si="31"/>
        <v>Tuesday</v>
      </c>
    </row>
    <row r="487" spans="1:21" x14ac:dyDescent="0.2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4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  <c r="R487" s="6">
        <f t="shared" si="28"/>
        <v>197.96</v>
      </c>
      <c r="S487" t="str">
        <f t="shared" si="29"/>
        <v>March</v>
      </c>
      <c r="T487">
        <f t="shared" si="30"/>
        <v>3</v>
      </c>
      <c r="U487" t="str">
        <f t="shared" si="31"/>
        <v>Thursday</v>
      </c>
    </row>
    <row r="488" spans="1:21" x14ac:dyDescent="0.2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4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  <c r="R488" s="6">
        <f t="shared" si="28"/>
        <v>410.90000000000003</v>
      </c>
      <c r="S488" t="str">
        <f t="shared" si="29"/>
        <v>February</v>
      </c>
      <c r="T488">
        <f t="shared" si="30"/>
        <v>2</v>
      </c>
      <c r="U488" t="str">
        <f t="shared" si="31"/>
        <v>Thursday</v>
      </c>
    </row>
    <row r="489" spans="1:21" x14ac:dyDescent="0.2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4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  <c r="R489" s="6">
        <f t="shared" si="28"/>
        <v>148.6</v>
      </c>
      <c r="S489" t="str">
        <f t="shared" si="29"/>
        <v>March</v>
      </c>
      <c r="T489">
        <f t="shared" si="30"/>
        <v>3</v>
      </c>
      <c r="U489" t="str">
        <f t="shared" si="31"/>
        <v>Saturday</v>
      </c>
    </row>
    <row r="490" spans="1:21" x14ac:dyDescent="0.2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4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  <c r="R490" s="6">
        <f t="shared" si="28"/>
        <v>22.96</v>
      </c>
      <c r="S490" t="str">
        <f t="shared" si="29"/>
        <v>January</v>
      </c>
      <c r="T490">
        <f t="shared" si="30"/>
        <v>1</v>
      </c>
      <c r="U490" t="str">
        <f t="shared" si="31"/>
        <v>Wednesday</v>
      </c>
    </row>
    <row r="491" spans="1:21" x14ac:dyDescent="0.2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4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  <c r="R491" s="6">
        <f t="shared" si="28"/>
        <v>699.12000000000012</v>
      </c>
      <c r="S491" t="str">
        <f t="shared" si="29"/>
        <v>April</v>
      </c>
      <c r="T491">
        <f t="shared" si="30"/>
        <v>4</v>
      </c>
      <c r="U491" t="str">
        <f t="shared" si="31"/>
        <v>Tuesday</v>
      </c>
    </row>
    <row r="492" spans="1:21" x14ac:dyDescent="0.2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4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  <c r="R492" s="6">
        <f t="shared" si="28"/>
        <v>69.400000000000006</v>
      </c>
      <c r="S492" t="str">
        <f t="shared" si="29"/>
        <v>March</v>
      </c>
      <c r="T492">
        <f t="shared" si="30"/>
        <v>3</v>
      </c>
      <c r="U492" t="str">
        <f t="shared" si="31"/>
        <v>Wednesday</v>
      </c>
    </row>
    <row r="493" spans="1:21" x14ac:dyDescent="0.2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4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  <c r="R493" s="6">
        <f t="shared" si="28"/>
        <v>196.6</v>
      </c>
      <c r="S493" t="str">
        <f t="shared" si="29"/>
        <v>March</v>
      </c>
      <c r="T493">
        <f t="shared" si="30"/>
        <v>3</v>
      </c>
      <c r="U493" t="str">
        <f t="shared" si="31"/>
        <v>Friday</v>
      </c>
    </row>
    <row r="494" spans="1:21" x14ac:dyDescent="0.2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4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  <c r="R494" s="6">
        <f t="shared" si="28"/>
        <v>202.56</v>
      </c>
      <c r="S494" t="str">
        <f t="shared" si="29"/>
        <v>May</v>
      </c>
      <c r="T494">
        <f t="shared" si="30"/>
        <v>5</v>
      </c>
      <c r="U494" t="str">
        <f t="shared" si="31"/>
        <v>Friday</v>
      </c>
    </row>
    <row r="495" spans="1:21" x14ac:dyDescent="0.2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4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  <c r="R495" s="6">
        <f t="shared" si="28"/>
        <v>121.19999999999999</v>
      </c>
      <c r="S495" t="str">
        <f t="shared" si="29"/>
        <v>May</v>
      </c>
      <c r="T495">
        <f t="shared" si="30"/>
        <v>5</v>
      </c>
      <c r="U495" t="str">
        <f t="shared" si="31"/>
        <v>Friday</v>
      </c>
    </row>
    <row r="496" spans="1:21" x14ac:dyDescent="0.2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4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  <c r="R496" s="6">
        <f t="shared" si="28"/>
        <v>199.78</v>
      </c>
      <c r="S496" t="str">
        <f t="shared" si="29"/>
        <v>February</v>
      </c>
      <c r="T496">
        <f t="shared" si="30"/>
        <v>2</v>
      </c>
      <c r="U496" t="str">
        <f t="shared" si="31"/>
        <v>Tuesday</v>
      </c>
    </row>
    <row r="497" spans="1:21" x14ac:dyDescent="0.2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4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  <c r="R497" s="6">
        <f t="shared" si="28"/>
        <v>607.36</v>
      </c>
      <c r="S497" t="str">
        <f t="shared" si="29"/>
        <v>March</v>
      </c>
      <c r="T497">
        <f t="shared" si="30"/>
        <v>3</v>
      </c>
      <c r="U497" t="str">
        <f t="shared" si="31"/>
        <v>Wednesday</v>
      </c>
    </row>
    <row r="498" spans="1:21" x14ac:dyDescent="0.2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4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  <c r="R498" s="6">
        <f t="shared" si="28"/>
        <v>126.44</v>
      </c>
      <c r="S498" t="str">
        <f t="shared" si="29"/>
        <v>January</v>
      </c>
      <c r="T498">
        <f t="shared" si="30"/>
        <v>1</v>
      </c>
      <c r="U498" t="str">
        <f t="shared" si="31"/>
        <v>Tuesday</v>
      </c>
    </row>
    <row r="499" spans="1:21" x14ac:dyDescent="0.2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4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  <c r="R499" s="6">
        <f t="shared" si="28"/>
        <v>541.43999999999994</v>
      </c>
      <c r="S499" t="str">
        <f t="shared" si="29"/>
        <v>January</v>
      </c>
      <c r="T499">
        <f t="shared" si="30"/>
        <v>1</v>
      </c>
      <c r="U499" t="str">
        <f t="shared" si="31"/>
        <v>Sunday</v>
      </c>
    </row>
    <row r="500" spans="1:21" x14ac:dyDescent="0.2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4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  <c r="R500" s="6">
        <f t="shared" si="28"/>
        <v>98.13</v>
      </c>
      <c r="S500" t="str">
        <f t="shared" si="29"/>
        <v>January</v>
      </c>
      <c r="T500">
        <f t="shared" si="30"/>
        <v>1</v>
      </c>
      <c r="U500" t="str">
        <f t="shared" si="31"/>
        <v>Monday</v>
      </c>
    </row>
    <row r="501" spans="1:21" x14ac:dyDescent="0.2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4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  <c r="R501" s="6">
        <f t="shared" si="28"/>
        <v>412.16</v>
      </c>
      <c r="S501" t="str">
        <f t="shared" si="29"/>
        <v>February</v>
      </c>
      <c r="T501">
        <f t="shared" si="30"/>
        <v>2</v>
      </c>
      <c r="U501" t="str">
        <f t="shared" si="31"/>
        <v>Saturday</v>
      </c>
    </row>
    <row r="502" spans="1:21" x14ac:dyDescent="0.2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4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  <c r="R502" s="6">
        <f t="shared" si="28"/>
        <v>73.97</v>
      </c>
      <c r="S502" t="str">
        <f t="shared" si="29"/>
        <v>March</v>
      </c>
      <c r="T502">
        <f t="shared" si="30"/>
        <v>3</v>
      </c>
      <c r="U502" t="str">
        <f t="shared" si="31"/>
        <v>Saturday</v>
      </c>
    </row>
    <row r="503" spans="1:21" x14ac:dyDescent="0.2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4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  <c r="R503" s="6">
        <f t="shared" si="28"/>
        <v>31.9</v>
      </c>
      <c r="S503" t="str">
        <f t="shared" si="29"/>
        <v>May</v>
      </c>
      <c r="T503">
        <f t="shared" si="30"/>
        <v>5</v>
      </c>
      <c r="U503" t="str">
        <f t="shared" si="31"/>
        <v>Wednesday</v>
      </c>
    </row>
    <row r="504" spans="1:21" x14ac:dyDescent="0.2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4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  <c r="R504" s="6">
        <f t="shared" si="28"/>
        <v>138.80000000000001</v>
      </c>
      <c r="S504" t="str">
        <f t="shared" si="29"/>
        <v>January</v>
      </c>
      <c r="T504">
        <f t="shared" si="30"/>
        <v>1</v>
      </c>
      <c r="U504" t="str">
        <f t="shared" si="31"/>
        <v>Sunday</v>
      </c>
    </row>
    <row r="505" spans="1:21" x14ac:dyDescent="0.2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4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  <c r="R505" s="6">
        <f t="shared" si="28"/>
        <v>186.62</v>
      </c>
      <c r="S505" t="str">
        <f t="shared" si="29"/>
        <v>March</v>
      </c>
      <c r="T505">
        <f t="shared" si="30"/>
        <v>3</v>
      </c>
      <c r="U505" t="str">
        <f t="shared" si="31"/>
        <v>Monday</v>
      </c>
    </row>
    <row r="506" spans="1:21" x14ac:dyDescent="0.2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4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  <c r="R506" s="6">
        <f t="shared" si="28"/>
        <v>88.45</v>
      </c>
      <c r="S506" t="str">
        <f t="shared" si="29"/>
        <v>February</v>
      </c>
      <c r="T506">
        <f t="shared" si="30"/>
        <v>2</v>
      </c>
      <c r="U506" t="str">
        <f t="shared" si="31"/>
        <v>Monday</v>
      </c>
    </row>
    <row r="507" spans="1:21" x14ac:dyDescent="0.2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4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  <c r="R507" s="6">
        <f t="shared" si="28"/>
        <v>193.44</v>
      </c>
      <c r="S507" t="str">
        <f t="shared" si="29"/>
        <v>January</v>
      </c>
      <c r="T507">
        <f t="shared" si="30"/>
        <v>1</v>
      </c>
      <c r="U507" t="str">
        <f t="shared" si="31"/>
        <v>Monday</v>
      </c>
    </row>
    <row r="508" spans="1:21" x14ac:dyDescent="0.2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4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  <c r="R508" s="6">
        <f t="shared" si="28"/>
        <v>145.5</v>
      </c>
      <c r="S508" t="str">
        <f t="shared" si="29"/>
        <v>August</v>
      </c>
      <c r="T508">
        <f t="shared" si="30"/>
        <v>8</v>
      </c>
      <c r="U508" t="str">
        <f t="shared" si="31"/>
        <v>Thursday</v>
      </c>
    </row>
    <row r="509" spans="1:21" x14ac:dyDescent="0.2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4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  <c r="R509" s="6">
        <f t="shared" si="28"/>
        <v>504.29999999999995</v>
      </c>
      <c r="S509" t="str">
        <f t="shared" si="29"/>
        <v>January</v>
      </c>
      <c r="T509">
        <f t="shared" si="30"/>
        <v>1</v>
      </c>
      <c r="U509" t="str">
        <f t="shared" si="31"/>
        <v>Tuesday</v>
      </c>
    </row>
    <row r="510" spans="1:21" x14ac:dyDescent="0.2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4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  <c r="R510" s="6">
        <f t="shared" si="28"/>
        <v>306.45</v>
      </c>
      <c r="S510" t="str">
        <f t="shared" si="29"/>
        <v>March</v>
      </c>
      <c r="T510">
        <f t="shared" si="30"/>
        <v>3</v>
      </c>
      <c r="U510" t="str">
        <f t="shared" si="31"/>
        <v>Friday</v>
      </c>
    </row>
    <row r="511" spans="1:21" x14ac:dyDescent="0.2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4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  <c r="R511" s="6">
        <f t="shared" si="28"/>
        <v>95.699999999999989</v>
      </c>
      <c r="S511" t="str">
        <f t="shared" si="29"/>
        <v>September</v>
      </c>
      <c r="T511">
        <f t="shared" si="30"/>
        <v>9</v>
      </c>
      <c r="U511" t="str">
        <f t="shared" si="31"/>
        <v>Monday</v>
      </c>
    </row>
    <row r="512" spans="1:21" x14ac:dyDescent="0.2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4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  <c r="R512" s="6">
        <f t="shared" si="28"/>
        <v>635.17999999999995</v>
      </c>
      <c r="S512" t="str">
        <f t="shared" si="29"/>
        <v>January</v>
      </c>
      <c r="T512">
        <f t="shared" si="30"/>
        <v>1</v>
      </c>
      <c r="U512" t="str">
        <f t="shared" si="31"/>
        <v>Wednesday</v>
      </c>
    </row>
    <row r="513" spans="1:21" x14ac:dyDescent="0.2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4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  <c r="R513" s="6">
        <f t="shared" si="28"/>
        <v>214.54999999999998</v>
      </c>
      <c r="S513" t="str">
        <f t="shared" si="29"/>
        <v>May</v>
      </c>
      <c r="T513">
        <f t="shared" si="30"/>
        <v>5</v>
      </c>
      <c r="U513" t="str">
        <f t="shared" si="31"/>
        <v>Wednesday</v>
      </c>
    </row>
    <row r="514" spans="1:21" x14ac:dyDescent="0.2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4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  <c r="R514" s="6">
        <f t="shared" si="28"/>
        <v>379.96000000000004</v>
      </c>
      <c r="S514" t="str">
        <f t="shared" si="29"/>
        <v>January</v>
      </c>
      <c r="T514">
        <f t="shared" si="30"/>
        <v>1</v>
      </c>
      <c r="U514" t="str">
        <f t="shared" si="31"/>
        <v>Sunday</v>
      </c>
    </row>
    <row r="515" spans="1:21" x14ac:dyDescent="0.2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4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  <c r="R515" s="6">
        <f t="shared" ref="R515:R578" si="32">H515*G515</f>
        <v>696.85</v>
      </c>
      <c r="S515" t="str">
        <f t="shared" ref="S515:S578" si="33">TEXT(K515,"mmmm")</f>
        <v>March</v>
      </c>
      <c r="T515">
        <f t="shared" ref="T515:T578" si="34">MONTH(K515)</f>
        <v>3</v>
      </c>
      <c r="U515" t="str">
        <f t="shared" ref="U515:U578" si="35">TEXT(K515,"dddd")</f>
        <v>Thursday</v>
      </c>
    </row>
    <row r="516" spans="1:21" x14ac:dyDescent="0.2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4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  <c r="R516" s="6">
        <f t="shared" si="32"/>
        <v>408.73</v>
      </c>
      <c r="S516" t="str">
        <f t="shared" si="33"/>
        <v>February</v>
      </c>
      <c r="T516">
        <f t="shared" si="34"/>
        <v>2</v>
      </c>
      <c r="U516" t="str">
        <f t="shared" si="35"/>
        <v>Saturday</v>
      </c>
    </row>
    <row r="517" spans="1:21" x14ac:dyDescent="0.2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4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  <c r="R517" s="6">
        <f t="shared" si="32"/>
        <v>51.47</v>
      </c>
      <c r="S517" t="str">
        <f t="shared" si="33"/>
        <v>March</v>
      </c>
      <c r="T517">
        <f t="shared" si="34"/>
        <v>3</v>
      </c>
      <c r="U517" t="str">
        <f t="shared" si="35"/>
        <v>Monday</v>
      </c>
    </row>
    <row r="518" spans="1:21" x14ac:dyDescent="0.2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4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  <c r="R518" s="6">
        <f t="shared" si="32"/>
        <v>274.3</v>
      </c>
      <c r="S518" t="str">
        <f t="shared" si="33"/>
        <v>March</v>
      </c>
      <c r="T518">
        <f t="shared" si="34"/>
        <v>3</v>
      </c>
      <c r="U518" t="str">
        <f t="shared" si="35"/>
        <v>Friday</v>
      </c>
    </row>
    <row r="519" spans="1:21" x14ac:dyDescent="0.2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4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  <c r="R519" s="6">
        <f t="shared" si="32"/>
        <v>196.95</v>
      </c>
      <c r="S519" t="str">
        <f t="shared" si="33"/>
        <v>January</v>
      </c>
      <c r="T519">
        <f t="shared" si="34"/>
        <v>1</v>
      </c>
      <c r="U519" t="str">
        <f t="shared" si="35"/>
        <v>Tuesday</v>
      </c>
    </row>
    <row r="520" spans="1:21" x14ac:dyDescent="0.2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4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  <c r="R520" s="6">
        <f t="shared" si="32"/>
        <v>69.459999999999994</v>
      </c>
      <c r="S520" t="str">
        <f t="shared" si="33"/>
        <v>January</v>
      </c>
      <c r="T520">
        <f t="shared" si="34"/>
        <v>1</v>
      </c>
      <c r="U520" t="str">
        <f t="shared" si="35"/>
        <v>Thursday</v>
      </c>
    </row>
    <row r="521" spans="1:21" x14ac:dyDescent="0.2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4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  <c r="R521" s="6">
        <f t="shared" si="32"/>
        <v>359.6</v>
      </c>
      <c r="S521" t="str">
        <f t="shared" si="33"/>
        <v>January</v>
      </c>
      <c r="T521">
        <f t="shared" si="34"/>
        <v>1</v>
      </c>
      <c r="U521" t="str">
        <f t="shared" si="35"/>
        <v>Thursday</v>
      </c>
    </row>
    <row r="522" spans="1:21" x14ac:dyDescent="0.2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4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  <c r="R522" s="6">
        <f t="shared" si="32"/>
        <v>137.13</v>
      </c>
      <c r="S522" t="str">
        <f t="shared" si="33"/>
        <v>March</v>
      </c>
      <c r="T522">
        <f t="shared" si="34"/>
        <v>3</v>
      </c>
      <c r="U522" t="str">
        <f t="shared" si="35"/>
        <v>Tuesday</v>
      </c>
    </row>
    <row r="523" spans="1:21" x14ac:dyDescent="0.2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4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  <c r="R523" s="6">
        <f t="shared" si="32"/>
        <v>499.02</v>
      </c>
      <c r="S523" t="str">
        <f t="shared" si="33"/>
        <v>March</v>
      </c>
      <c r="T523">
        <f t="shared" si="34"/>
        <v>3</v>
      </c>
      <c r="U523" t="str">
        <f t="shared" si="35"/>
        <v>Wednesday</v>
      </c>
    </row>
    <row r="524" spans="1:21" x14ac:dyDescent="0.2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4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  <c r="R524" s="6">
        <f t="shared" si="32"/>
        <v>224.64</v>
      </c>
      <c r="S524" t="str">
        <f t="shared" si="33"/>
        <v>June</v>
      </c>
      <c r="T524">
        <f t="shared" si="34"/>
        <v>6</v>
      </c>
      <c r="U524" t="str">
        <f t="shared" si="35"/>
        <v>Sunday</v>
      </c>
    </row>
    <row r="525" spans="1:21" x14ac:dyDescent="0.2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4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  <c r="R525" s="6">
        <f t="shared" si="32"/>
        <v>125.74</v>
      </c>
      <c r="S525" t="str">
        <f t="shared" si="33"/>
        <v>January</v>
      </c>
      <c r="T525">
        <f t="shared" si="34"/>
        <v>1</v>
      </c>
      <c r="U525" t="str">
        <f t="shared" si="35"/>
        <v>Tuesday</v>
      </c>
    </row>
    <row r="526" spans="1:21" x14ac:dyDescent="0.2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4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  <c r="R526" s="6">
        <f t="shared" si="32"/>
        <v>490.26</v>
      </c>
      <c r="S526" t="str">
        <f t="shared" si="33"/>
        <v>January</v>
      </c>
      <c r="T526">
        <f t="shared" si="34"/>
        <v>1</v>
      </c>
      <c r="U526" t="str">
        <f t="shared" si="35"/>
        <v>Sunday</v>
      </c>
    </row>
    <row r="527" spans="1:21" x14ac:dyDescent="0.2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4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  <c r="R527" s="6">
        <f t="shared" si="32"/>
        <v>457.04999999999995</v>
      </c>
      <c r="S527" t="str">
        <f t="shared" si="33"/>
        <v>February</v>
      </c>
      <c r="T527">
        <f t="shared" si="34"/>
        <v>2</v>
      </c>
      <c r="U527" t="str">
        <f t="shared" si="35"/>
        <v>Monday</v>
      </c>
    </row>
    <row r="528" spans="1:21" x14ac:dyDescent="0.2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4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  <c r="R528" s="6">
        <f t="shared" si="32"/>
        <v>156.84</v>
      </c>
      <c r="S528" t="str">
        <f t="shared" si="33"/>
        <v>January</v>
      </c>
      <c r="T528">
        <f t="shared" si="34"/>
        <v>1</v>
      </c>
      <c r="U528" t="str">
        <f t="shared" si="35"/>
        <v>Wednesday</v>
      </c>
    </row>
    <row r="529" spans="1:21" x14ac:dyDescent="0.2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4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  <c r="R529" s="6">
        <f t="shared" si="32"/>
        <v>119.72</v>
      </c>
      <c r="S529" t="str">
        <f t="shared" si="33"/>
        <v>January</v>
      </c>
      <c r="T529">
        <f t="shared" si="34"/>
        <v>1</v>
      </c>
      <c r="U529" t="str">
        <f t="shared" si="35"/>
        <v>Sunday</v>
      </c>
    </row>
    <row r="530" spans="1:21" x14ac:dyDescent="0.2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4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  <c r="R530" s="6">
        <f t="shared" si="32"/>
        <v>543.6</v>
      </c>
      <c r="S530" t="str">
        <f t="shared" si="33"/>
        <v>July</v>
      </c>
      <c r="T530">
        <f t="shared" si="34"/>
        <v>7</v>
      </c>
      <c r="U530" t="str">
        <f t="shared" si="35"/>
        <v>Tuesday</v>
      </c>
    </row>
    <row r="531" spans="1:21" x14ac:dyDescent="0.2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4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  <c r="R531" s="6">
        <f t="shared" si="32"/>
        <v>882.81000000000006</v>
      </c>
      <c r="S531" t="str">
        <f t="shared" si="33"/>
        <v>February</v>
      </c>
      <c r="T531">
        <f t="shared" si="34"/>
        <v>2</v>
      </c>
      <c r="U531" t="str">
        <f t="shared" si="35"/>
        <v>Sunday</v>
      </c>
    </row>
    <row r="532" spans="1:21" x14ac:dyDescent="0.2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4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  <c r="R532" s="6">
        <f t="shared" si="32"/>
        <v>152.57999999999998</v>
      </c>
      <c r="S532" t="str">
        <f t="shared" si="33"/>
        <v>December</v>
      </c>
      <c r="T532">
        <f t="shared" si="34"/>
        <v>12</v>
      </c>
      <c r="U532" t="str">
        <f t="shared" si="35"/>
        <v>Monday</v>
      </c>
    </row>
    <row r="533" spans="1:21" x14ac:dyDescent="0.2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4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  <c r="R533" s="6">
        <f t="shared" si="32"/>
        <v>693.44</v>
      </c>
      <c r="S533" t="str">
        <f t="shared" si="33"/>
        <v>January</v>
      </c>
      <c r="T533">
        <f t="shared" si="34"/>
        <v>1</v>
      </c>
      <c r="U533" t="str">
        <f t="shared" si="35"/>
        <v>Thursday</v>
      </c>
    </row>
    <row r="534" spans="1:21" x14ac:dyDescent="0.2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4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  <c r="R534" s="6">
        <f t="shared" si="32"/>
        <v>229.5</v>
      </c>
      <c r="S534" t="str">
        <f t="shared" si="33"/>
        <v>June</v>
      </c>
      <c r="T534">
        <f t="shared" si="34"/>
        <v>6</v>
      </c>
      <c r="U534" t="str">
        <f t="shared" si="35"/>
        <v>Sunday</v>
      </c>
    </row>
    <row r="535" spans="1:21" x14ac:dyDescent="0.2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4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  <c r="R535" s="6">
        <f t="shared" si="32"/>
        <v>146.79</v>
      </c>
      <c r="S535" t="str">
        <f t="shared" si="33"/>
        <v>March</v>
      </c>
      <c r="T535">
        <f t="shared" si="34"/>
        <v>3</v>
      </c>
      <c r="U535" t="str">
        <f t="shared" si="35"/>
        <v>Tuesday</v>
      </c>
    </row>
    <row r="536" spans="1:21" x14ac:dyDescent="0.2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4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  <c r="R536" s="6">
        <f t="shared" si="32"/>
        <v>141.6</v>
      </c>
      <c r="S536" t="str">
        <f t="shared" si="33"/>
        <v>November</v>
      </c>
      <c r="T536">
        <f t="shared" si="34"/>
        <v>11</v>
      </c>
      <c r="U536" t="str">
        <f t="shared" si="35"/>
        <v>Sunday</v>
      </c>
    </row>
    <row r="537" spans="1:21" x14ac:dyDescent="0.2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4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  <c r="R537" s="6">
        <f t="shared" si="32"/>
        <v>116.69000000000001</v>
      </c>
      <c r="S537" t="str">
        <f t="shared" si="33"/>
        <v>July</v>
      </c>
      <c r="T537">
        <f t="shared" si="34"/>
        <v>7</v>
      </c>
      <c r="U537" t="str">
        <f t="shared" si="35"/>
        <v>Tuesday</v>
      </c>
    </row>
    <row r="538" spans="1:21" x14ac:dyDescent="0.2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4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  <c r="R538" s="6">
        <f t="shared" si="32"/>
        <v>73.959999999999994</v>
      </c>
      <c r="S538" t="str">
        <f t="shared" si="33"/>
        <v>May</v>
      </c>
      <c r="T538">
        <f t="shared" si="34"/>
        <v>5</v>
      </c>
      <c r="U538" t="str">
        <f t="shared" si="35"/>
        <v>Wednesday</v>
      </c>
    </row>
    <row r="539" spans="1:21" x14ac:dyDescent="0.2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4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  <c r="R539" s="6">
        <f t="shared" si="32"/>
        <v>97.94</v>
      </c>
      <c r="S539" t="str">
        <f t="shared" si="33"/>
        <v>July</v>
      </c>
      <c r="T539">
        <f t="shared" si="34"/>
        <v>7</v>
      </c>
      <c r="U539" t="str">
        <f t="shared" si="35"/>
        <v>Wednesday</v>
      </c>
    </row>
    <row r="540" spans="1:21" x14ac:dyDescent="0.2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4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  <c r="R540" s="6">
        <f t="shared" si="32"/>
        <v>292.2</v>
      </c>
      <c r="S540" t="str">
        <f t="shared" si="33"/>
        <v>February</v>
      </c>
      <c r="T540">
        <f t="shared" si="34"/>
        <v>2</v>
      </c>
      <c r="U540" t="str">
        <f t="shared" si="35"/>
        <v>Monday</v>
      </c>
    </row>
    <row r="541" spans="1:21" x14ac:dyDescent="0.2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4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  <c r="R541" s="6">
        <f t="shared" si="32"/>
        <v>524.88</v>
      </c>
      <c r="S541" t="str">
        <f t="shared" si="33"/>
        <v>January</v>
      </c>
      <c r="T541">
        <f t="shared" si="34"/>
        <v>1</v>
      </c>
      <c r="U541" t="str">
        <f t="shared" si="35"/>
        <v>Wednesday</v>
      </c>
    </row>
    <row r="542" spans="1:21" x14ac:dyDescent="0.2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4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  <c r="R542" s="6">
        <f t="shared" si="32"/>
        <v>92.039999999999992</v>
      </c>
      <c r="S542" t="str">
        <f t="shared" si="33"/>
        <v>January</v>
      </c>
      <c r="T542">
        <f t="shared" si="34"/>
        <v>1</v>
      </c>
      <c r="U542" t="str">
        <f t="shared" si="35"/>
        <v>Tuesday</v>
      </c>
    </row>
    <row r="543" spans="1:21" x14ac:dyDescent="0.2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4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  <c r="R543" s="6">
        <f t="shared" si="32"/>
        <v>75.88</v>
      </c>
      <c r="S543" t="str">
        <f t="shared" si="33"/>
        <v>March</v>
      </c>
      <c r="T543">
        <f t="shared" si="34"/>
        <v>3</v>
      </c>
      <c r="U543" t="str">
        <f t="shared" si="35"/>
        <v>Friday</v>
      </c>
    </row>
    <row r="544" spans="1:21" x14ac:dyDescent="0.2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4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  <c r="R544" s="6">
        <f t="shared" si="32"/>
        <v>80.72</v>
      </c>
      <c r="S544" t="str">
        <f t="shared" si="33"/>
        <v>February</v>
      </c>
      <c r="T544">
        <f t="shared" si="34"/>
        <v>2</v>
      </c>
      <c r="U544" t="str">
        <f t="shared" si="35"/>
        <v>Wednesday</v>
      </c>
    </row>
    <row r="545" spans="1:21" x14ac:dyDescent="0.2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4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  <c r="R545" s="6">
        <f t="shared" si="32"/>
        <v>112.62</v>
      </c>
      <c r="S545" t="str">
        <f t="shared" si="33"/>
        <v>January</v>
      </c>
      <c r="T545">
        <f t="shared" si="34"/>
        <v>1</v>
      </c>
      <c r="U545" t="str">
        <f t="shared" si="35"/>
        <v>Monday</v>
      </c>
    </row>
    <row r="546" spans="1:21" x14ac:dyDescent="0.2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4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  <c r="R546" s="6">
        <f t="shared" si="32"/>
        <v>71.2</v>
      </c>
      <c r="S546" t="str">
        <f t="shared" si="33"/>
        <v>May</v>
      </c>
      <c r="T546">
        <f t="shared" si="34"/>
        <v>5</v>
      </c>
      <c r="U546" t="str">
        <f t="shared" si="35"/>
        <v>Wednesday</v>
      </c>
    </row>
    <row r="547" spans="1:21" x14ac:dyDescent="0.2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4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  <c r="R547" s="6">
        <f t="shared" si="32"/>
        <v>155.24</v>
      </c>
      <c r="S547" t="str">
        <f t="shared" si="33"/>
        <v>March</v>
      </c>
      <c r="T547">
        <f t="shared" si="34"/>
        <v>3</v>
      </c>
      <c r="U547" t="str">
        <f t="shared" si="35"/>
        <v>Tuesday</v>
      </c>
    </row>
    <row r="548" spans="1:21" x14ac:dyDescent="0.2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4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  <c r="R548" s="6">
        <f t="shared" si="32"/>
        <v>294.20000000000005</v>
      </c>
      <c r="S548" t="str">
        <f t="shared" si="33"/>
        <v>December</v>
      </c>
      <c r="T548">
        <f t="shared" si="34"/>
        <v>12</v>
      </c>
      <c r="U548" t="str">
        <f t="shared" si="35"/>
        <v>Sunday</v>
      </c>
    </row>
    <row r="549" spans="1:21" x14ac:dyDescent="0.2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4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  <c r="R549" s="6">
        <f t="shared" si="32"/>
        <v>548.55000000000007</v>
      </c>
      <c r="S549" t="str">
        <f t="shared" si="33"/>
        <v>July</v>
      </c>
      <c r="T549">
        <f t="shared" si="34"/>
        <v>7</v>
      </c>
      <c r="U549" t="str">
        <f t="shared" si="35"/>
        <v>Monday</v>
      </c>
    </row>
    <row r="550" spans="1:21" x14ac:dyDescent="0.2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4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  <c r="R550" s="6">
        <f t="shared" si="32"/>
        <v>257.7</v>
      </c>
      <c r="S550" t="str">
        <f t="shared" si="33"/>
        <v>January</v>
      </c>
      <c r="T550">
        <f t="shared" si="34"/>
        <v>1</v>
      </c>
      <c r="U550" t="str">
        <f t="shared" si="35"/>
        <v>Saturday</v>
      </c>
    </row>
    <row r="551" spans="1:21" x14ac:dyDescent="0.2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4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  <c r="R551" s="6">
        <f t="shared" si="32"/>
        <v>396.36</v>
      </c>
      <c r="S551" t="str">
        <f t="shared" si="33"/>
        <v>January</v>
      </c>
      <c r="T551">
        <f t="shared" si="34"/>
        <v>1</v>
      </c>
      <c r="U551" t="str">
        <f t="shared" si="35"/>
        <v>Wednesday</v>
      </c>
    </row>
    <row r="552" spans="1:21" x14ac:dyDescent="0.2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4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  <c r="R552" s="6">
        <f t="shared" si="32"/>
        <v>171.81</v>
      </c>
      <c r="S552" t="str">
        <f t="shared" si="33"/>
        <v>September</v>
      </c>
      <c r="T552">
        <f t="shared" si="34"/>
        <v>9</v>
      </c>
      <c r="U552" t="str">
        <f t="shared" si="35"/>
        <v>Monday</v>
      </c>
    </row>
    <row r="553" spans="1:21" x14ac:dyDescent="0.2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4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  <c r="R553" s="6">
        <f t="shared" si="32"/>
        <v>488.79</v>
      </c>
      <c r="S553" t="str">
        <f t="shared" si="33"/>
        <v>February</v>
      </c>
      <c r="T553">
        <f t="shared" si="34"/>
        <v>2</v>
      </c>
      <c r="U553" t="str">
        <f t="shared" si="35"/>
        <v>Friday</v>
      </c>
    </row>
    <row r="554" spans="1:21" x14ac:dyDescent="0.2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4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  <c r="R554" s="6">
        <f t="shared" si="32"/>
        <v>524.16</v>
      </c>
      <c r="S554" t="str">
        <f t="shared" si="33"/>
        <v>May</v>
      </c>
      <c r="T554">
        <f t="shared" si="34"/>
        <v>5</v>
      </c>
      <c r="U554" t="str">
        <f t="shared" si="35"/>
        <v>Thursday</v>
      </c>
    </row>
    <row r="555" spans="1:21" x14ac:dyDescent="0.2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4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  <c r="R555" s="6">
        <f t="shared" si="32"/>
        <v>133.26</v>
      </c>
      <c r="S555" t="str">
        <f t="shared" si="33"/>
        <v>July</v>
      </c>
      <c r="T555">
        <f t="shared" si="34"/>
        <v>7</v>
      </c>
      <c r="U555" t="str">
        <f t="shared" si="35"/>
        <v>Wednesday</v>
      </c>
    </row>
    <row r="556" spans="1:21" x14ac:dyDescent="0.2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4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  <c r="R556" s="6">
        <f t="shared" si="32"/>
        <v>135.24</v>
      </c>
      <c r="S556" t="str">
        <f t="shared" si="33"/>
        <v>March</v>
      </c>
      <c r="T556">
        <f t="shared" si="34"/>
        <v>3</v>
      </c>
      <c r="U556" t="str">
        <f t="shared" si="35"/>
        <v>Monday</v>
      </c>
    </row>
    <row r="557" spans="1:21" x14ac:dyDescent="0.2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4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  <c r="R557" s="6">
        <f t="shared" si="32"/>
        <v>112.44</v>
      </c>
      <c r="S557" t="str">
        <f t="shared" si="33"/>
        <v>January</v>
      </c>
      <c r="T557">
        <f t="shared" si="34"/>
        <v>1</v>
      </c>
      <c r="U557" t="str">
        <f t="shared" si="35"/>
        <v>Sunday</v>
      </c>
    </row>
    <row r="558" spans="1:21" x14ac:dyDescent="0.2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4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  <c r="R558" s="6">
        <f t="shared" si="32"/>
        <v>144.08000000000001</v>
      </c>
      <c r="S558" t="str">
        <f t="shared" si="33"/>
        <v>April</v>
      </c>
      <c r="T558">
        <f t="shared" si="34"/>
        <v>4</v>
      </c>
      <c r="U558" t="str">
        <f t="shared" si="35"/>
        <v>Tuesday</v>
      </c>
    </row>
    <row r="559" spans="1:21" x14ac:dyDescent="0.2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4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  <c r="R559" s="6">
        <f t="shared" si="32"/>
        <v>985.19999999999993</v>
      </c>
      <c r="S559" t="str">
        <f t="shared" si="33"/>
        <v>January</v>
      </c>
      <c r="T559">
        <f t="shared" si="34"/>
        <v>1</v>
      </c>
      <c r="U559" t="str">
        <f t="shared" si="35"/>
        <v>Wednesday</v>
      </c>
    </row>
    <row r="560" spans="1:21" x14ac:dyDescent="0.2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4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  <c r="R560" s="6">
        <f t="shared" si="32"/>
        <v>249.95999999999998</v>
      </c>
      <c r="S560" t="str">
        <f t="shared" si="33"/>
        <v>February</v>
      </c>
      <c r="T560">
        <f t="shared" si="34"/>
        <v>2</v>
      </c>
      <c r="U560" t="str">
        <f t="shared" si="35"/>
        <v>Friday</v>
      </c>
    </row>
    <row r="561" spans="1:21" x14ac:dyDescent="0.2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4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  <c r="R561" s="6">
        <f t="shared" si="32"/>
        <v>217.26</v>
      </c>
      <c r="S561" t="str">
        <f t="shared" si="33"/>
        <v>March</v>
      </c>
      <c r="T561">
        <f t="shared" si="34"/>
        <v>3</v>
      </c>
      <c r="U561" t="str">
        <f t="shared" si="35"/>
        <v>Friday</v>
      </c>
    </row>
    <row r="562" spans="1:21" x14ac:dyDescent="0.2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4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  <c r="R562" s="6">
        <f t="shared" si="32"/>
        <v>194.21999999999997</v>
      </c>
      <c r="S562" t="str">
        <f t="shared" si="33"/>
        <v>March</v>
      </c>
      <c r="T562">
        <f t="shared" si="34"/>
        <v>3</v>
      </c>
      <c r="U562" t="str">
        <f t="shared" si="35"/>
        <v>Thursday</v>
      </c>
    </row>
    <row r="563" spans="1:21" x14ac:dyDescent="0.2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4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  <c r="R563" s="6">
        <f t="shared" si="32"/>
        <v>892</v>
      </c>
      <c r="S563" t="str">
        <f t="shared" si="33"/>
        <v>November</v>
      </c>
      <c r="T563">
        <f t="shared" si="34"/>
        <v>11</v>
      </c>
      <c r="U563" t="str">
        <f t="shared" si="35"/>
        <v>Saturday</v>
      </c>
    </row>
    <row r="564" spans="1:21" x14ac:dyDescent="0.2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4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  <c r="R564" s="6">
        <f t="shared" si="32"/>
        <v>339.36</v>
      </c>
      <c r="S564" t="str">
        <f t="shared" si="33"/>
        <v>January</v>
      </c>
      <c r="T564">
        <f t="shared" si="34"/>
        <v>1</v>
      </c>
      <c r="U564" t="str">
        <f t="shared" si="35"/>
        <v>Wednesday</v>
      </c>
    </row>
    <row r="565" spans="1:21" x14ac:dyDescent="0.2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4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  <c r="R565" s="6">
        <f t="shared" si="32"/>
        <v>447.06000000000006</v>
      </c>
      <c r="S565" t="str">
        <f t="shared" si="33"/>
        <v>March</v>
      </c>
      <c r="T565">
        <f t="shared" si="34"/>
        <v>3</v>
      </c>
      <c r="U565" t="str">
        <f t="shared" si="35"/>
        <v>Wednesday</v>
      </c>
    </row>
    <row r="566" spans="1:21" x14ac:dyDescent="0.2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4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  <c r="R566" s="6">
        <f t="shared" si="32"/>
        <v>198.5</v>
      </c>
      <c r="S566" t="str">
        <f t="shared" si="33"/>
        <v>March</v>
      </c>
      <c r="T566">
        <f t="shared" si="34"/>
        <v>3</v>
      </c>
      <c r="U566" t="str">
        <f t="shared" si="35"/>
        <v>Wednesday</v>
      </c>
    </row>
    <row r="567" spans="1:21" x14ac:dyDescent="0.2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4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  <c r="R567" s="6">
        <f t="shared" si="32"/>
        <v>812.09999999999991</v>
      </c>
      <c r="S567" t="str">
        <f t="shared" si="33"/>
        <v>January</v>
      </c>
      <c r="T567">
        <f t="shared" si="34"/>
        <v>1</v>
      </c>
      <c r="U567" t="str">
        <f t="shared" si="35"/>
        <v>Thursday</v>
      </c>
    </row>
    <row r="568" spans="1:21" x14ac:dyDescent="0.2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4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  <c r="R568" s="6">
        <f t="shared" si="32"/>
        <v>493.29999999999995</v>
      </c>
      <c r="S568" t="str">
        <f t="shared" si="33"/>
        <v>March</v>
      </c>
      <c r="T568">
        <f t="shared" si="34"/>
        <v>3</v>
      </c>
      <c r="U568" t="str">
        <f t="shared" si="35"/>
        <v>Saturday</v>
      </c>
    </row>
    <row r="569" spans="1:21" x14ac:dyDescent="0.2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4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  <c r="R569" s="6">
        <f t="shared" si="32"/>
        <v>591.66</v>
      </c>
      <c r="S569" t="str">
        <f t="shared" si="33"/>
        <v>January</v>
      </c>
      <c r="T569">
        <f t="shared" si="34"/>
        <v>1</v>
      </c>
      <c r="U569" t="str">
        <f t="shared" si="35"/>
        <v>Tuesday</v>
      </c>
    </row>
    <row r="570" spans="1:21" x14ac:dyDescent="0.2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4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  <c r="R570" s="6">
        <f t="shared" si="32"/>
        <v>559.02</v>
      </c>
      <c r="S570" t="str">
        <f t="shared" si="33"/>
        <v>October</v>
      </c>
      <c r="T570">
        <f t="shared" si="34"/>
        <v>10</v>
      </c>
      <c r="U570" t="str">
        <f t="shared" si="35"/>
        <v>Tuesday</v>
      </c>
    </row>
    <row r="571" spans="1:21" x14ac:dyDescent="0.2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4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  <c r="R571" s="6">
        <f t="shared" si="32"/>
        <v>517.86</v>
      </c>
      <c r="S571" t="str">
        <f t="shared" si="33"/>
        <v>February</v>
      </c>
      <c r="T571">
        <f t="shared" si="34"/>
        <v>2</v>
      </c>
      <c r="U571" t="str">
        <f t="shared" si="35"/>
        <v>Sunday</v>
      </c>
    </row>
    <row r="572" spans="1:21" x14ac:dyDescent="0.2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4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  <c r="R572" s="6">
        <f t="shared" si="32"/>
        <v>410.20000000000005</v>
      </c>
      <c r="S572" t="str">
        <f t="shared" si="33"/>
        <v>February</v>
      </c>
      <c r="T572">
        <f t="shared" si="34"/>
        <v>2</v>
      </c>
      <c r="U572" t="str">
        <f t="shared" si="35"/>
        <v>Monday</v>
      </c>
    </row>
    <row r="573" spans="1:21" x14ac:dyDescent="0.2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4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  <c r="R573" s="6">
        <f t="shared" si="32"/>
        <v>266.70000000000005</v>
      </c>
      <c r="S573" t="str">
        <f t="shared" si="33"/>
        <v>January</v>
      </c>
      <c r="T573">
        <f t="shared" si="34"/>
        <v>1</v>
      </c>
      <c r="U573" t="str">
        <f t="shared" si="35"/>
        <v>Tuesday</v>
      </c>
    </row>
    <row r="574" spans="1:21" x14ac:dyDescent="0.2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4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  <c r="R574" s="6">
        <f t="shared" si="32"/>
        <v>70.910000000000011</v>
      </c>
      <c r="S574" t="str">
        <f t="shared" si="33"/>
        <v>October</v>
      </c>
      <c r="T574">
        <f t="shared" si="34"/>
        <v>10</v>
      </c>
      <c r="U574" t="str">
        <f t="shared" si="35"/>
        <v>Thursday</v>
      </c>
    </row>
    <row r="575" spans="1:21" x14ac:dyDescent="0.2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4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  <c r="R575" s="6">
        <f t="shared" si="32"/>
        <v>144.78</v>
      </c>
      <c r="S575" t="str">
        <f t="shared" si="33"/>
        <v>January</v>
      </c>
      <c r="T575">
        <f t="shared" si="34"/>
        <v>1</v>
      </c>
      <c r="U575" t="str">
        <f t="shared" si="35"/>
        <v>Sunday</v>
      </c>
    </row>
    <row r="576" spans="1:21" x14ac:dyDescent="0.2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4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  <c r="R576" s="6">
        <f t="shared" si="32"/>
        <v>429.54999999999995</v>
      </c>
      <c r="S576" t="str">
        <f t="shared" si="33"/>
        <v>March</v>
      </c>
      <c r="T576">
        <f t="shared" si="34"/>
        <v>3</v>
      </c>
      <c r="U576" t="str">
        <f t="shared" si="35"/>
        <v>Friday</v>
      </c>
    </row>
    <row r="577" spans="1:21" x14ac:dyDescent="0.2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4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  <c r="R577" s="6">
        <f t="shared" si="32"/>
        <v>569.17000000000007</v>
      </c>
      <c r="S577" t="str">
        <f t="shared" si="33"/>
        <v>January</v>
      </c>
      <c r="T577">
        <f t="shared" si="34"/>
        <v>1</v>
      </c>
      <c r="U577" t="str">
        <f t="shared" si="35"/>
        <v>Thursday</v>
      </c>
    </row>
    <row r="578" spans="1:21" x14ac:dyDescent="0.2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4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  <c r="R578" s="6">
        <f t="shared" si="32"/>
        <v>241.2</v>
      </c>
      <c r="S578" t="str">
        <f t="shared" si="33"/>
        <v>February</v>
      </c>
      <c r="T578">
        <f t="shared" si="34"/>
        <v>2</v>
      </c>
      <c r="U578" t="str">
        <f t="shared" si="35"/>
        <v>Wednesday</v>
      </c>
    </row>
    <row r="579" spans="1:21" x14ac:dyDescent="0.2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4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  <c r="R579" s="6">
        <f t="shared" ref="R579:R642" si="36">H579*G579</f>
        <v>127.08</v>
      </c>
      <c r="S579" t="str">
        <f t="shared" ref="S579:S642" si="37">TEXT(K579,"mmmm")</f>
        <v>January</v>
      </c>
      <c r="T579">
        <f t="shared" ref="T579:T642" si="38">MONTH(K579)</f>
        <v>1</v>
      </c>
      <c r="U579" t="str">
        <f t="shared" ref="U579:U642" si="39">TEXT(K579,"dddd")</f>
        <v>Monday</v>
      </c>
    </row>
    <row r="580" spans="1:21" x14ac:dyDescent="0.2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4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  <c r="R580" s="6">
        <f t="shared" si="36"/>
        <v>257.08</v>
      </c>
      <c r="S580" t="str">
        <f t="shared" si="37"/>
        <v>March</v>
      </c>
      <c r="T580">
        <f t="shared" si="38"/>
        <v>3</v>
      </c>
      <c r="U580" t="str">
        <f t="shared" si="39"/>
        <v>Tuesday</v>
      </c>
    </row>
    <row r="581" spans="1:21" x14ac:dyDescent="0.2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4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  <c r="R581" s="6">
        <f t="shared" si="36"/>
        <v>139.02000000000001</v>
      </c>
      <c r="S581" t="str">
        <f t="shared" si="37"/>
        <v>January</v>
      </c>
      <c r="T581">
        <f t="shared" si="38"/>
        <v>1</v>
      </c>
      <c r="U581" t="str">
        <f t="shared" si="39"/>
        <v>Thursday</v>
      </c>
    </row>
    <row r="582" spans="1:21" x14ac:dyDescent="0.2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4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  <c r="R582" s="6">
        <f t="shared" si="36"/>
        <v>81.66</v>
      </c>
      <c r="S582" t="str">
        <f t="shared" si="37"/>
        <v>July</v>
      </c>
      <c r="T582">
        <f t="shared" si="38"/>
        <v>7</v>
      </c>
      <c r="U582" t="str">
        <f t="shared" si="39"/>
        <v>Monday</v>
      </c>
    </row>
    <row r="583" spans="1:21" x14ac:dyDescent="0.2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4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  <c r="R583" s="6">
        <f t="shared" si="36"/>
        <v>310.72000000000003</v>
      </c>
      <c r="S583" t="str">
        <f t="shared" si="37"/>
        <v>January</v>
      </c>
      <c r="T583">
        <f t="shared" si="38"/>
        <v>1</v>
      </c>
      <c r="U583" t="str">
        <f t="shared" si="39"/>
        <v>Wednesday</v>
      </c>
    </row>
    <row r="584" spans="1:21" x14ac:dyDescent="0.2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4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  <c r="R584" s="6">
        <f t="shared" si="36"/>
        <v>185.96</v>
      </c>
      <c r="S584" t="str">
        <f t="shared" si="37"/>
        <v>February</v>
      </c>
      <c r="T584">
        <f t="shared" si="38"/>
        <v>2</v>
      </c>
      <c r="U584" t="str">
        <f t="shared" si="39"/>
        <v>Wednesday</v>
      </c>
    </row>
    <row r="585" spans="1:21" x14ac:dyDescent="0.2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4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  <c r="R585" s="6">
        <f t="shared" si="36"/>
        <v>72.319999999999993</v>
      </c>
      <c r="S585" t="str">
        <f t="shared" si="37"/>
        <v>January</v>
      </c>
      <c r="T585">
        <f t="shared" si="38"/>
        <v>1</v>
      </c>
      <c r="U585" t="str">
        <f t="shared" si="39"/>
        <v>Monday</v>
      </c>
    </row>
    <row r="586" spans="1:21" x14ac:dyDescent="0.2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4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  <c r="R586" s="6">
        <f t="shared" si="36"/>
        <v>189.18</v>
      </c>
      <c r="S586" t="str">
        <f t="shared" si="37"/>
        <v>January</v>
      </c>
      <c r="T586">
        <f t="shared" si="38"/>
        <v>1</v>
      </c>
      <c r="U586" t="str">
        <f t="shared" si="39"/>
        <v>Saturday</v>
      </c>
    </row>
    <row r="587" spans="1:21" x14ac:dyDescent="0.2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4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  <c r="R587" s="6">
        <f t="shared" si="36"/>
        <v>206.84</v>
      </c>
      <c r="S587" t="str">
        <f t="shared" si="37"/>
        <v>September</v>
      </c>
      <c r="T587">
        <f t="shared" si="38"/>
        <v>9</v>
      </c>
      <c r="U587" t="str">
        <f t="shared" si="39"/>
        <v>Tuesday</v>
      </c>
    </row>
    <row r="588" spans="1:21" x14ac:dyDescent="0.2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4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  <c r="R588" s="6">
        <f t="shared" si="36"/>
        <v>157.02000000000001</v>
      </c>
      <c r="S588" t="str">
        <f t="shared" si="37"/>
        <v>March</v>
      </c>
      <c r="T588">
        <f t="shared" si="38"/>
        <v>3</v>
      </c>
      <c r="U588" t="str">
        <f t="shared" si="39"/>
        <v>Wednesday</v>
      </c>
    </row>
    <row r="589" spans="1:21" x14ac:dyDescent="0.2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4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  <c r="R589" s="6">
        <f t="shared" si="36"/>
        <v>215.3</v>
      </c>
      <c r="S589" t="str">
        <f t="shared" si="37"/>
        <v>April</v>
      </c>
      <c r="T589">
        <f t="shared" si="38"/>
        <v>4</v>
      </c>
      <c r="U589" t="str">
        <f t="shared" si="39"/>
        <v>Tuesday</v>
      </c>
    </row>
    <row r="590" spans="1:21" x14ac:dyDescent="0.2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4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  <c r="R590" s="6">
        <f t="shared" si="36"/>
        <v>596.1</v>
      </c>
      <c r="S590" t="str">
        <f t="shared" si="37"/>
        <v>March</v>
      </c>
      <c r="T590">
        <f t="shared" si="38"/>
        <v>3</v>
      </c>
      <c r="U590" t="str">
        <f t="shared" si="39"/>
        <v>Thursday</v>
      </c>
    </row>
    <row r="591" spans="1:21" x14ac:dyDescent="0.2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4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  <c r="R591" s="6">
        <f t="shared" si="36"/>
        <v>73.099999999999994</v>
      </c>
      <c r="S591" t="str">
        <f t="shared" si="37"/>
        <v>April</v>
      </c>
      <c r="T591">
        <f t="shared" si="38"/>
        <v>4</v>
      </c>
      <c r="U591" t="str">
        <f t="shared" si="39"/>
        <v>Wednesday</v>
      </c>
    </row>
    <row r="592" spans="1:21" x14ac:dyDescent="0.2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4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  <c r="R592" s="6">
        <f t="shared" si="36"/>
        <v>279.18</v>
      </c>
      <c r="S592" t="str">
        <f t="shared" si="37"/>
        <v>March</v>
      </c>
      <c r="T592">
        <f t="shared" si="38"/>
        <v>3</v>
      </c>
      <c r="U592" t="str">
        <f t="shared" si="39"/>
        <v>Sunday</v>
      </c>
    </row>
    <row r="593" spans="1:21" x14ac:dyDescent="0.2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4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  <c r="R593" s="6">
        <f t="shared" si="36"/>
        <v>169.67999999999998</v>
      </c>
      <c r="S593" t="str">
        <f t="shared" si="37"/>
        <v>January</v>
      </c>
      <c r="T593">
        <f t="shared" si="38"/>
        <v>1</v>
      </c>
      <c r="U593" t="str">
        <f t="shared" si="39"/>
        <v>Sunday</v>
      </c>
    </row>
    <row r="594" spans="1:21" x14ac:dyDescent="0.2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4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  <c r="R594" s="6">
        <f t="shared" si="36"/>
        <v>45.58</v>
      </c>
      <c r="S594" t="str">
        <f t="shared" si="37"/>
        <v>July</v>
      </c>
      <c r="T594">
        <f t="shared" si="38"/>
        <v>7</v>
      </c>
      <c r="U594" t="str">
        <f t="shared" si="39"/>
        <v>Tuesday</v>
      </c>
    </row>
    <row r="595" spans="1:21" x14ac:dyDescent="0.2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4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  <c r="R595" s="6">
        <f t="shared" si="36"/>
        <v>225.60000000000002</v>
      </c>
      <c r="S595" t="str">
        <f t="shared" si="37"/>
        <v>May</v>
      </c>
      <c r="T595">
        <f t="shared" si="38"/>
        <v>5</v>
      </c>
      <c r="U595" t="str">
        <f t="shared" si="39"/>
        <v>Thursday</v>
      </c>
    </row>
    <row r="596" spans="1:21" x14ac:dyDescent="0.2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4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  <c r="R596" s="6">
        <f t="shared" si="36"/>
        <v>290.39999999999998</v>
      </c>
      <c r="S596" t="str">
        <f t="shared" si="37"/>
        <v>March</v>
      </c>
      <c r="T596">
        <f t="shared" si="38"/>
        <v>3</v>
      </c>
      <c r="U596" t="str">
        <f t="shared" si="39"/>
        <v>Friday</v>
      </c>
    </row>
    <row r="597" spans="1:21" x14ac:dyDescent="0.2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4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  <c r="R597" s="6">
        <f t="shared" si="36"/>
        <v>44.46</v>
      </c>
      <c r="S597" t="str">
        <f t="shared" si="37"/>
        <v>January</v>
      </c>
      <c r="T597">
        <f t="shared" si="38"/>
        <v>1</v>
      </c>
      <c r="U597" t="str">
        <f t="shared" si="39"/>
        <v>Thursday</v>
      </c>
    </row>
    <row r="598" spans="1:21" x14ac:dyDescent="0.2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4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  <c r="R598" s="6">
        <f t="shared" si="36"/>
        <v>156.60000000000002</v>
      </c>
      <c r="S598" t="str">
        <f t="shared" si="37"/>
        <v>February</v>
      </c>
      <c r="T598">
        <f t="shared" si="38"/>
        <v>2</v>
      </c>
      <c r="U598" t="str">
        <f t="shared" si="39"/>
        <v>Friday</v>
      </c>
    </row>
    <row r="599" spans="1:21" x14ac:dyDescent="0.2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4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  <c r="R599" s="6">
        <f t="shared" si="36"/>
        <v>419.93999999999994</v>
      </c>
      <c r="S599" t="str">
        <f t="shared" si="37"/>
        <v>February</v>
      </c>
      <c r="T599">
        <f t="shared" si="38"/>
        <v>2</v>
      </c>
      <c r="U599" t="str">
        <f t="shared" si="39"/>
        <v>Sunday</v>
      </c>
    </row>
    <row r="600" spans="1:21" x14ac:dyDescent="0.2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4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  <c r="R600" s="6">
        <f t="shared" si="36"/>
        <v>184.25</v>
      </c>
      <c r="S600" t="str">
        <f t="shared" si="37"/>
        <v>January</v>
      </c>
      <c r="T600">
        <f t="shared" si="38"/>
        <v>1</v>
      </c>
      <c r="U600" t="str">
        <f t="shared" si="39"/>
        <v>Saturday</v>
      </c>
    </row>
    <row r="601" spans="1:21" x14ac:dyDescent="0.2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4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  <c r="R601" s="6">
        <f t="shared" si="36"/>
        <v>140.63999999999999</v>
      </c>
      <c r="S601" t="str">
        <f t="shared" si="37"/>
        <v>March</v>
      </c>
      <c r="T601">
        <f t="shared" si="38"/>
        <v>3</v>
      </c>
      <c r="U601" t="str">
        <f t="shared" si="39"/>
        <v>Sunday</v>
      </c>
    </row>
    <row r="602" spans="1:21" x14ac:dyDescent="0.2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4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  <c r="R602" s="6">
        <f t="shared" si="36"/>
        <v>83.08</v>
      </c>
      <c r="S602" t="str">
        <f t="shared" si="37"/>
        <v>January</v>
      </c>
      <c r="T602">
        <f t="shared" si="38"/>
        <v>1</v>
      </c>
      <c r="U602" t="str">
        <f t="shared" si="39"/>
        <v>Wednesday</v>
      </c>
    </row>
    <row r="603" spans="1:21" x14ac:dyDescent="0.2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4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  <c r="R603" s="6">
        <f t="shared" si="36"/>
        <v>64.989999999999995</v>
      </c>
      <c r="S603" t="str">
        <f t="shared" si="37"/>
        <v>January</v>
      </c>
      <c r="T603">
        <f t="shared" si="38"/>
        <v>1</v>
      </c>
      <c r="U603" t="str">
        <f t="shared" si="39"/>
        <v>Saturday</v>
      </c>
    </row>
    <row r="604" spans="1:21" x14ac:dyDescent="0.2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4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  <c r="R604" s="6">
        <f t="shared" si="36"/>
        <v>775.6</v>
      </c>
      <c r="S604" t="str">
        <f t="shared" si="37"/>
        <v>March</v>
      </c>
      <c r="T604">
        <f t="shared" si="38"/>
        <v>3</v>
      </c>
      <c r="U604" t="str">
        <f t="shared" si="39"/>
        <v>Thursday</v>
      </c>
    </row>
    <row r="605" spans="1:21" x14ac:dyDescent="0.2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4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  <c r="R605" s="6">
        <f t="shared" si="36"/>
        <v>327.06</v>
      </c>
      <c r="S605" t="str">
        <f t="shared" si="37"/>
        <v>March</v>
      </c>
      <c r="T605">
        <f t="shared" si="38"/>
        <v>3</v>
      </c>
      <c r="U605" t="str">
        <f t="shared" si="39"/>
        <v>Sunday</v>
      </c>
    </row>
    <row r="606" spans="1:21" x14ac:dyDescent="0.2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4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  <c r="R606" s="6">
        <f t="shared" si="36"/>
        <v>363.23</v>
      </c>
      <c r="S606" t="str">
        <f t="shared" si="37"/>
        <v>August</v>
      </c>
      <c r="T606">
        <f t="shared" si="38"/>
        <v>8</v>
      </c>
      <c r="U606" t="str">
        <f t="shared" si="39"/>
        <v>Thursday</v>
      </c>
    </row>
    <row r="607" spans="1:21" x14ac:dyDescent="0.2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4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  <c r="R607" s="6">
        <f t="shared" si="36"/>
        <v>127</v>
      </c>
      <c r="S607" t="str">
        <f t="shared" si="37"/>
        <v>August</v>
      </c>
      <c r="T607">
        <f t="shared" si="38"/>
        <v>8</v>
      </c>
      <c r="U607" t="str">
        <f t="shared" si="39"/>
        <v>Friday</v>
      </c>
    </row>
    <row r="608" spans="1:21" x14ac:dyDescent="0.2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4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  <c r="R608" s="6">
        <f t="shared" si="36"/>
        <v>375.55</v>
      </c>
      <c r="S608" t="str">
        <f t="shared" si="37"/>
        <v>October</v>
      </c>
      <c r="T608">
        <f t="shared" si="38"/>
        <v>10</v>
      </c>
      <c r="U608" t="str">
        <f t="shared" si="39"/>
        <v>Wednesday</v>
      </c>
    </row>
    <row r="609" spans="1:21" x14ac:dyDescent="0.2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4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  <c r="R609" s="6">
        <f t="shared" si="36"/>
        <v>199.16</v>
      </c>
      <c r="S609" t="str">
        <f t="shared" si="37"/>
        <v>March</v>
      </c>
      <c r="T609">
        <f t="shared" si="38"/>
        <v>3</v>
      </c>
      <c r="U609" t="str">
        <f t="shared" si="39"/>
        <v>Thursday</v>
      </c>
    </row>
    <row r="610" spans="1:21" x14ac:dyDescent="0.2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4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  <c r="R610" s="6">
        <f t="shared" si="36"/>
        <v>30.61</v>
      </c>
      <c r="S610" t="str">
        <f t="shared" si="37"/>
        <v>January</v>
      </c>
      <c r="T610">
        <f t="shared" si="38"/>
        <v>1</v>
      </c>
      <c r="U610" t="str">
        <f t="shared" si="39"/>
        <v>Wednesday</v>
      </c>
    </row>
    <row r="611" spans="1:21" x14ac:dyDescent="0.2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4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  <c r="R611" s="6">
        <f t="shared" si="36"/>
        <v>115.78</v>
      </c>
      <c r="S611" t="str">
        <f t="shared" si="37"/>
        <v>January</v>
      </c>
      <c r="T611">
        <f t="shared" si="38"/>
        <v>1</v>
      </c>
      <c r="U611" t="str">
        <f t="shared" si="39"/>
        <v>Thursday</v>
      </c>
    </row>
    <row r="612" spans="1:21" x14ac:dyDescent="0.2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4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  <c r="R612" s="6">
        <f t="shared" si="36"/>
        <v>28.96</v>
      </c>
      <c r="S612" t="str">
        <f t="shared" si="37"/>
        <v>July</v>
      </c>
      <c r="T612">
        <f t="shared" si="38"/>
        <v>7</v>
      </c>
      <c r="U612" t="str">
        <f t="shared" si="39"/>
        <v>Tuesday</v>
      </c>
    </row>
    <row r="613" spans="1:21" x14ac:dyDescent="0.2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4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  <c r="R613" s="6">
        <f t="shared" si="36"/>
        <v>890.73</v>
      </c>
      <c r="S613" t="str">
        <f t="shared" si="37"/>
        <v>September</v>
      </c>
      <c r="T613">
        <f t="shared" si="38"/>
        <v>9</v>
      </c>
      <c r="U613" t="str">
        <f t="shared" si="39"/>
        <v>Tuesday</v>
      </c>
    </row>
    <row r="614" spans="1:21" x14ac:dyDescent="0.2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4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  <c r="R614" s="6">
        <f t="shared" si="36"/>
        <v>279.65999999999997</v>
      </c>
      <c r="S614" t="str">
        <f t="shared" si="37"/>
        <v>January</v>
      </c>
      <c r="T614">
        <f t="shared" si="38"/>
        <v>1</v>
      </c>
      <c r="U614" t="str">
        <f t="shared" si="39"/>
        <v>Thursday</v>
      </c>
    </row>
    <row r="615" spans="1:21" x14ac:dyDescent="0.2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4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  <c r="R615" s="6">
        <f t="shared" si="36"/>
        <v>80.930000000000007</v>
      </c>
      <c r="S615" t="str">
        <f t="shared" si="37"/>
        <v>January</v>
      </c>
      <c r="T615">
        <f t="shared" si="38"/>
        <v>1</v>
      </c>
      <c r="U615" t="str">
        <f t="shared" si="39"/>
        <v>Saturday</v>
      </c>
    </row>
    <row r="616" spans="1:21" x14ac:dyDescent="0.2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4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  <c r="R616" s="6">
        <f t="shared" si="36"/>
        <v>674.5</v>
      </c>
      <c r="S616" t="str">
        <f t="shared" si="37"/>
        <v>March</v>
      </c>
      <c r="T616">
        <f t="shared" si="38"/>
        <v>3</v>
      </c>
      <c r="U616" t="str">
        <f t="shared" si="39"/>
        <v>Saturday</v>
      </c>
    </row>
    <row r="617" spans="1:21" x14ac:dyDescent="0.2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4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  <c r="R617" s="6">
        <f t="shared" si="36"/>
        <v>348.48</v>
      </c>
      <c r="S617" t="str">
        <f t="shared" si="37"/>
        <v>March</v>
      </c>
      <c r="T617">
        <f t="shared" si="38"/>
        <v>3</v>
      </c>
      <c r="U617" t="str">
        <f t="shared" si="39"/>
        <v>Wednesday</v>
      </c>
    </row>
    <row r="618" spans="1:21" x14ac:dyDescent="0.2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4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  <c r="R618" s="6">
        <f t="shared" si="36"/>
        <v>435.59999999999997</v>
      </c>
      <c r="S618" t="str">
        <f t="shared" si="37"/>
        <v>January</v>
      </c>
      <c r="T618">
        <f t="shared" si="38"/>
        <v>1</v>
      </c>
      <c r="U618" t="str">
        <f t="shared" si="39"/>
        <v>Sunday</v>
      </c>
    </row>
    <row r="619" spans="1:21" x14ac:dyDescent="0.2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4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  <c r="R619" s="6">
        <f t="shared" si="36"/>
        <v>439.54999999999995</v>
      </c>
      <c r="S619" t="str">
        <f t="shared" si="37"/>
        <v>March</v>
      </c>
      <c r="T619">
        <f t="shared" si="38"/>
        <v>3</v>
      </c>
      <c r="U619" t="str">
        <f t="shared" si="39"/>
        <v>Thursday</v>
      </c>
    </row>
    <row r="620" spans="1:21" x14ac:dyDescent="0.2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4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  <c r="R620" s="6">
        <f t="shared" si="36"/>
        <v>591.18000000000006</v>
      </c>
      <c r="S620" t="str">
        <f t="shared" si="37"/>
        <v>January</v>
      </c>
      <c r="T620">
        <f t="shared" si="38"/>
        <v>1</v>
      </c>
      <c r="U620" t="str">
        <f t="shared" si="39"/>
        <v>Wednesday</v>
      </c>
    </row>
    <row r="621" spans="1:21" x14ac:dyDescent="0.2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4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  <c r="R621" s="6">
        <f t="shared" si="36"/>
        <v>260.76</v>
      </c>
      <c r="S621" t="str">
        <f t="shared" si="37"/>
        <v>July</v>
      </c>
      <c r="T621">
        <f t="shared" si="38"/>
        <v>7</v>
      </c>
      <c r="U621" t="str">
        <f t="shared" si="39"/>
        <v>Tuesday</v>
      </c>
    </row>
    <row r="622" spans="1:21" x14ac:dyDescent="0.2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4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  <c r="R622" s="6">
        <f t="shared" si="36"/>
        <v>215.04000000000002</v>
      </c>
      <c r="S622" t="str">
        <f t="shared" si="37"/>
        <v>March</v>
      </c>
      <c r="T622">
        <f t="shared" si="38"/>
        <v>3</v>
      </c>
      <c r="U622" t="str">
        <f t="shared" si="39"/>
        <v>Thursday</v>
      </c>
    </row>
    <row r="623" spans="1:21" x14ac:dyDescent="0.2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4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  <c r="R623" s="6">
        <f t="shared" si="36"/>
        <v>91.61</v>
      </c>
      <c r="S623" t="str">
        <f t="shared" si="37"/>
        <v>March</v>
      </c>
      <c r="T623">
        <f t="shared" si="38"/>
        <v>3</v>
      </c>
      <c r="U623" t="str">
        <f t="shared" si="39"/>
        <v>Wednesday</v>
      </c>
    </row>
    <row r="624" spans="1:21" x14ac:dyDescent="0.2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4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  <c r="R624" s="6">
        <f t="shared" si="36"/>
        <v>662.13</v>
      </c>
      <c r="S624" t="str">
        <f t="shared" si="37"/>
        <v>January</v>
      </c>
      <c r="T624">
        <f t="shared" si="38"/>
        <v>1</v>
      </c>
      <c r="U624" t="str">
        <f t="shared" si="39"/>
        <v>Thursday</v>
      </c>
    </row>
    <row r="625" spans="1:21" x14ac:dyDescent="0.2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4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  <c r="R625" s="6">
        <f t="shared" si="36"/>
        <v>832.5</v>
      </c>
      <c r="S625" t="str">
        <f t="shared" si="37"/>
        <v>December</v>
      </c>
      <c r="T625">
        <f t="shared" si="38"/>
        <v>12</v>
      </c>
      <c r="U625" t="str">
        <f t="shared" si="39"/>
        <v>Sunday</v>
      </c>
    </row>
    <row r="626" spans="1:21" x14ac:dyDescent="0.2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4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  <c r="R626" s="6">
        <f t="shared" si="36"/>
        <v>91.35</v>
      </c>
      <c r="S626" t="str">
        <f t="shared" si="37"/>
        <v>February</v>
      </c>
      <c r="T626">
        <f t="shared" si="38"/>
        <v>2</v>
      </c>
      <c r="U626" t="str">
        <f t="shared" si="39"/>
        <v>Saturday</v>
      </c>
    </row>
    <row r="627" spans="1:21" x14ac:dyDescent="0.2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4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  <c r="R627" s="6">
        <f t="shared" si="36"/>
        <v>157.76</v>
      </c>
      <c r="S627" t="str">
        <f t="shared" si="37"/>
        <v>January</v>
      </c>
      <c r="T627">
        <f t="shared" si="38"/>
        <v>1</v>
      </c>
      <c r="U627" t="str">
        <f t="shared" si="39"/>
        <v>Saturday</v>
      </c>
    </row>
    <row r="628" spans="1:21" x14ac:dyDescent="0.2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4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  <c r="R628" s="6">
        <f t="shared" si="36"/>
        <v>121.74</v>
      </c>
      <c r="S628" t="str">
        <f t="shared" si="37"/>
        <v>September</v>
      </c>
      <c r="T628">
        <f t="shared" si="38"/>
        <v>9</v>
      </c>
      <c r="U628" t="str">
        <f t="shared" si="39"/>
        <v>Tuesday</v>
      </c>
    </row>
    <row r="629" spans="1:21" x14ac:dyDescent="0.2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4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  <c r="R629" s="6">
        <f t="shared" si="36"/>
        <v>825.8</v>
      </c>
      <c r="S629" t="str">
        <f t="shared" si="37"/>
        <v>March</v>
      </c>
      <c r="T629">
        <f t="shared" si="38"/>
        <v>3</v>
      </c>
      <c r="U629" t="str">
        <f t="shared" si="39"/>
        <v>Thursday</v>
      </c>
    </row>
    <row r="630" spans="1:21" x14ac:dyDescent="0.2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4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  <c r="R630" s="6">
        <f t="shared" si="36"/>
        <v>159.89999999999998</v>
      </c>
      <c r="S630" t="str">
        <f t="shared" si="37"/>
        <v>January</v>
      </c>
      <c r="T630">
        <f t="shared" si="38"/>
        <v>1</v>
      </c>
      <c r="U630" t="str">
        <f t="shared" si="39"/>
        <v>Friday</v>
      </c>
    </row>
    <row r="631" spans="1:21" x14ac:dyDescent="0.2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4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  <c r="R631" s="6">
        <f t="shared" si="36"/>
        <v>12.09</v>
      </c>
      <c r="S631" t="str">
        <f t="shared" si="37"/>
        <v>January</v>
      </c>
      <c r="T631">
        <f t="shared" si="38"/>
        <v>1</v>
      </c>
      <c r="U631" t="str">
        <f t="shared" si="39"/>
        <v>Saturday</v>
      </c>
    </row>
    <row r="632" spans="1:21" x14ac:dyDescent="0.2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4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  <c r="R632" s="6">
        <f t="shared" si="36"/>
        <v>641.9</v>
      </c>
      <c r="S632" t="str">
        <f t="shared" si="37"/>
        <v>January</v>
      </c>
      <c r="T632">
        <f t="shared" si="38"/>
        <v>1</v>
      </c>
      <c r="U632" t="str">
        <f t="shared" si="39"/>
        <v>Saturday</v>
      </c>
    </row>
    <row r="633" spans="1:21" x14ac:dyDescent="0.2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4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  <c r="R633" s="6">
        <f t="shared" si="36"/>
        <v>234.93</v>
      </c>
      <c r="S633" t="str">
        <f t="shared" si="37"/>
        <v>May</v>
      </c>
      <c r="T633">
        <f t="shared" si="38"/>
        <v>5</v>
      </c>
      <c r="U633" t="str">
        <f t="shared" si="39"/>
        <v>Friday</v>
      </c>
    </row>
    <row r="634" spans="1:21" x14ac:dyDescent="0.2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4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  <c r="R634" s="6">
        <f t="shared" si="36"/>
        <v>167.54</v>
      </c>
      <c r="S634" t="str">
        <f t="shared" si="37"/>
        <v>January</v>
      </c>
      <c r="T634">
        <f t="shared" si="38"/>
        <v>1</v>
      </c>
      <c r="U634" t="str">
        <f t="shared" si="39"/>
        <v>Tuesday</v>
      </c>
    </row>
    <row r="635" spans="1:21" x14ac:dyDescent="0.2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4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  <c r="R635" s="6">
        <f t="shared" si="36"/>
        <v>299.10000000000002</v>
      </c>
      <c r="S635" t="str">
        <f t="shared" si="37"/>
        <v>March</v>
      </c>
      <c r="T635">
        <f t="shared" si="38"/>
        <v>3</v>
      </c>
      <c r="U635" t="str">
        <f t="shared" si="39"/>
        <v>Monday</v>
      </c>
    </row>
    <row r="636" spans="1:21" x14ac:dyDescent="0.2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4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  <c r="R636" s="6">
        <f t="shared" si="36"/>
        <v>239.73</v>
      </c>
      <c r="S636" t="str">
        <f t="shared" si="37"/>
        <v>March</v>
      </c>
      <c r="T636">
        <f t="shared" si="38"/>
        <v>3</v>
      </c>
      <c r="U636" t="str">
        <f t="shared" si="39"/>
        <v>Wednesday</v>
      </c>
    </row>
    <row r="637" spans="1:21" x14ac:dyDescent="0.2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4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  <c r="R637" s="6">
        <f t="shared" si="36"/>
        <v>664.7</v>
      </c>
      <c r="S637" t="str">
        <f t="shared" si="37"/>
        <v>January</v>
      </c>
      <c r="T637">
        <f t="shared" si="38"/>
        <v>1</v>
      </c>
      <c r="U637" t="str">
        <f t="shared" si="39"/>
        <v>Tuesday</v>
      </c>
    </row>
    <row r="638" spans="1:21" x14ac:dyDescent="0.2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4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  <c r="R638" s="6">
        <f t="shared" si="36"/>
        <v>202.65</v>
      </c>
      <c r="S638" t="str">
        <f t="shared" si="37"/>
        <v>March</v>
      </c>
      <c r="T638">
        <f t="shared" si="38"/>
        <v>3</v>
      </c>
      <c r="U638" t="str">
        <f t="shared" si="39"/>
        <v>Sunday</v>
      </c>
    </row>
    <row r="639" spans="1:21" x14ac:dyDescent="0.2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4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  <c r="R639" s="6">
        <f t="shared" si="36"/>
        <v>46.2</v>
      </c>
      <c r="S639" t="str">
        <f t="shared" si="37"/>
        <v>March</v>
      </c>
      <c r="T639">
        <f t="shared" si="38"/>
        <v>3</v>
      </c>
      <c r="U639" t="str">
        <f t="shared" si="39"/>
        <v>Tuesday</v>
      </c>
    </row>
    <row r="640" spans="1:21" x14ac:dyDescent="0.2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4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  <c r="R640" s="6">
        <f t="shared" si="36"/>
        <v>88.149999999999991</v>
      </c>
      <c r="S640" t="str">
        <f t="shared" si="37"/>
        <v>August</v>
      </c>
      <c r="T640">
        <f t="shared" si="38"/>
        <v>8</v>
      </c>
      <c r="U640" t="str">
        <f t="shared" si="39"/>
        <v>Saturday</v>
      </c>
    </row>
    <row r="641" spans="1:21" x14ac:dyDescent="0.2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4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  <c r="R641" s="6">
        <f t="shared" si="36"/>
        <v>157.26</v>
      </c>
      <c r="S641" t="str">
        <f t="shared" si="37"/>
        <v>February</v>
      </c>
      <c r="T641">
        <f t="shared" si="38"/>
        <v>2</v>
      </c>
      <c r="U641" t="str">
        <f t="shared" si="39"/>
        <v>Wednesday</v>
      </c>
    </row>
    <row r="642" spans="1:21" x14ac:dyDescent="0.2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4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  <c r="R642" s="6">
        <f t="shared" si="36"/>
        <v>296.37</v>
      </c>
      <c r="S642" t="str">
        <f t="shared" si="37"/>
        <v>February</v>
      </c>
      <c r="T642">
        <f t="shared" si="38"/>
        <v>2</v>
      </c>
      <c r="U642" t="str">
        <f t="shared" si="39"/>
        <v>Saturday</v>
      </c>
    </row>
    <row r="643" spans="1:21" x14ac:dyDescent="0.2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4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  <c r="R643" s="6">
        <f t="shared" ref="R643:R706" si="40">H643*G643</f>
        <v>708.4</v>
      </c>
      <c r="S643" t="str">
        <f t="shared" ref="S643:S706" si="41">TEXT(K643,"mmmm")</f>
        <v>March</v>
      </c>
      <c r="T643">
        <f t="shared" ref="T643:T706" si="42">MONTH(K643)</f>
        <v>3</v>
      </c>
      <c r="U643" t="str">
        <f t="shared" ref="U643:U706" si="43">TEXT(K643,"dddd")</f>
        <v>Tuesday</v>
      </c>
    </row>
    <row r="644" spans="1:21" x14ac:dyDescent="0.2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4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  <c r="R644" s="6">
        <f t="shared" si="40"/>
        <v>111.34</v>
      </c>
      <c r="S644" t="str">
        <f t="shared" si="41"/>
        <v>March</v>
      </c>
      <c r="T644">
        <f t="shared" si="42"/>
        <v>3</v>
      </c>
      <c r="U644" t="str">
        <f t="shared" si="43"/>
        <v>Wednesday</v>
      </c>
    </row>
    <row r="645" spans="1:21" x14ac:dyDescent="0.2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4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  <c r="R645" s="6">
        <f t="shared" si="40"/>
        <v>580.16</v>
      </c>
      <c r="S645" t="str">
        <f t="shared" si="41"/>
        <v>March</v>
      </c>
      <c r="T645">
        <f t="shared" si="42"/>
        <v>3</v>
      </c>
      <c r="U645" t="str">
        <f t="shared" si="43"/>
        <v>Saturday</v>
      </c>
    </row>
    <row r="646" spans="1:21" x14ac:dyDescent="0.2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4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  <c r="R646" s="6">
        <f t="shared" si="40"/>
        <v>60.25</v>
      </c>
      <c r="S646" t="str">
        <f t="shared" si="41"/>
        <v>February</v>
      </c>
      <c r="T646">
        <f t="shared" si="42"/>
        <v>2</v>
      </c>
      <c r="U646" t="str">
        <f t="shared" si="43"/>
        <v>Saturday</v>
      </c>
    </row>
    <row r="647" spans="1:21" x14ac:dyDescent="0.2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4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  <c r="R647" s="6">
        <f t="shared" si="40"/>
        <v>174.24</v>
      </c>
      <c r="S647" t="str">
        <f t="shared" si="41"/>
        <v>January</v>
      </c>
      <c r="T647">
        <f t="shared" si="42"/>
        <v>1</v>
      </c>
      <c r="U647" t="str">
        <f t="shared" si="43"/>
        <v>Friday</v>
      </c>
    </row>
    <row r="648" spans="1:21" x14ac:dyDescent="0.2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4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  <c r="R648" s="6">
        <f t="shared" si="40"/>
        <v>421.26</v>
      </c>
      <c r="S648" t="str">
        <f t="shared" si="41"/>
        <v>March</v>
      </c>
      <c r="T648">
        <f t="shared" si="42"/>
        <v>3</v>
      </c>
      <c r="U648" t="str">
        <f t="shared" si="43"/>
        <v>Saturday</v>
      </c>
    </row>
    <row r="649" spans="1:21" x14ac:dyDescent="0.2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4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  <c r="R649" s="6">
        <f t="shared" si="40"/>
        <v>33.630000000000003</v>
      </c>
      <c r="S649" t="str">
        <f t="shared" si="41"/>
        <v>March</v>
      </c>
      <c r="T649">
        <f t="shared" si="42"/>
        <v>3</v>
      </c>
      <c r="U649" t="str">
        <f t="shared" si="43"/>
        <v>Wednesday</v>
      </c>
    </row>
    <row r="650" spans="1:21" x14ac:dyDescent="0.2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4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  <c r="R650" s="6">
        <f t="shared" si="40"/>
        <v>30.98</v>
      </c>
      <c r="S650" t="str">
        <f t="shared" si="41"/>
        <v>January</v>
      </c>
      <c r="T650">
        <f t="shared" si="42"/>
        <v>1</v>
      </c>
      <c r="U650" t="str">
        <f t="shared" si="43"/>
        <v>Wednesday</v>
      </c>
    </row>
    <row r="651" spans="1:21" x14ac:dyDescent="0.2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4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  <c r="R651" s="6">
        <f t="shared" si="40"/>
        <v>247.39999999999998</v>
      </c>
      <c r="S651" t="str">
        <f t="shared" si="41"/>
        <v>February</v>
      </c>
      <c r="T651">
        <f t="shared" si="42"/>
        <v>2</v>
      </c>
      <c r="U651" t="str">
        <f t="shared" si="43"/>
        <v>Sunday</v>
      </c>
    </row>
    <row r="652" spans="1:21" x14ac:dyDescent="0.2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4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  <c r="R652" s="6">
        <f t="shared" si="40"/>
        <v>378.29999999999995</v>
      </c>
      <c r="S652" t="str">
        <f t="shared" si="41"/>
        <v>January</v>
      </c>
      <c r="T652">
        <f t="shared" si="42"/>
        <v>1</v>
      </c>
      <c r="U652" t="str">
        <f t="shared" si="43"/>
        <v>Tuesday</v>
      </c>
    </row>
    <row r="653" spans="1:21" x14ac:dyDescent="0.2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4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  <c r="R653" s="6">
        <f t="shared" si="40"/>
        <v>334.86</v>
      </c>
      <c r="S653" t="str">
        <f t="shared" si="41"/>
        <v>January</v>
      </c>
      <c r="T653">
        <f t="shared" si="42"/>
        <v>1</v>
      </c>
      <c r="U653" t="str">
        <f t="shared" si="43"/>
        <v>Tuesday</v>
      </c>
    </row>
    <row r="654" spans="1:21" x14ac:dyDescent="0.2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4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  <c r="R654" s="6">
        <f t="shared" si="40"/>
        <v>727.8</v>
      </c>
      <c r="S654" t="str">
        <f t="shared" si="41"/>
        <v>March</v>
      </c>
      <c r="T654">
        <f t="shared" si="42"/>
        <v>3</v>
      </c>
      <c r="U654" t="str">
        <f t="shared" si="43"/>
        <v>Saturday</v>
      </c>
    </row>
    <row r="655" spans="1:21" x14ac:dyDescent="0.2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4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  <c r="R655" s="6">
        <f t="shared" si="40"/>
        <v>335.88</v>
      </c>
      <c r="S655" t="str">
        <f t="shared" si="41"/>
        <v>June</v>
      </c>
      <c r="T655">
        <f t="shared" si="42"/>
        <v>6</v>
      </c>
      <c r="U655" t="str">
        <f t="shared" si="43"/>
        <v>Monday</v>
      </c>
    </row>
    <row r="656" spans="1:21" x14ac:dyDescent="0.2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4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  <c r="R656" s="6">
        <f t="shared" si="40"/>
        <v>240.72</v>
      </c>
      <c r="S656" t="str">
        <f t="shared" si="41"/>
        <v>February</v>
      </c>
      <c r="T656">
        <f t="shared" si="42"/>
        <v>2</v>
      </c>
      <c r="U656" t="str">
        <f t="shared" si="43"/>
        <v>Saturday</v>
      </c>
    </row>
    <row r="657" spans="1:21" x14ac:dyDescent="0.2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4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  <c r="R657" s="6">
        <f t="shared" si="40"/>
        <v>47.07</v>
      </c>
      <c r="S657" t="str">
        <f t="shared" si="41"/>
        <v>March</v>
      </c>
      <c r="T657">
        <f t="shared" si="42"/>
        <v>3</v>
      </c>
      <c r="U657" t="str">
        <f t="shared" si="43"/>
        <v>Thursday</v>
      </c>
    </row>
    <row r="658" spans="1:21" x14ac:dyDescent="0.2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4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  <c r="R658" s="6">
        <f t="shared" si="40"/>
        <v>99.69</v>
      </c>
      <c r="S658" t="str">
        <f t="shared" si="41"/>
        <v>February</v>
      </c>
      <c r="T658">
        <f t="shared" si="42"/>
        <v>2</v>
      </c>
      <c r="U658" t="str">
        <f t="shared" si="43"/>
        <v>Wednesday</v>
      </c>
    </row>
    <row r="659" spans="1:21" x14ac:dyDescent="0.2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4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  <c r="R659" s="6">
        <f t="shared" si="40"/>
        <v>264.45000000000005</v>
      </c>
      <c r="S659" t="str">
        <f t="shared" si="41"/>
        <v>January</v>
      </c>
      <c r="T659">
        <f t="shared" si="42"/>
        <v>1</v>
      </c>
      <c r="U659" t="str">
        <f t="shared" si="43"/>
        <v>Friday</v>
      </c>
    </row>
    <row r="660" spans="1:21" x14ac:dyDescent="0.2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4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  <c r="R660" s="6">
        <f t="shared" si="40"/>
        <v>139.65</v>
      </c>
      <c r="S660" t="str">
        <f t="shared" si="41"/>
        <v>January</v>
      </c>
      <c r="T660">
        <f t="shared" si="42"/>
        <v>1</v>
      </c>
      <c r="U660" t="str">
        <f t="shared" si="43"/>
        <v>Tuesday</v>
      </c>
    </row>
    <row r="661" spans="1:21" x14ac:dyDescent="0.2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4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  <c r="R661" s="6">
        <f t="shared" si="40"/>
        <v>55.45</v>
      </c>
      <c r="S661" t="str">
        <f t="shared" si="41"/>
        <v>February</v>
      </c>
      <c r="T661">
        <f t="shared" si="42"/>
        <v>2</v>
      </c>
      <c r="U661" t="str">
        <f t="shared" si="43"/>
        <v>Tuesday</v>
      </c>
    </row>
    <row r="662" spans="1:21" x14ac:dyDescent="0.2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4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  <c r="R662" s="6">
        <f t="shared" si="40"/>
        <v>128.91</v>
      </c>
      <c r="S662" t="str">
        <f t="shared" si="41"/>
        <v>March</v>
      </c>
      <c r="T662">
        <f t="shared" si="42"/>
        <v>3</v>
      </c>
      <c r="U662" t="str">
        <f t="shared" si="43"/>
        <v>Saturday</v>
      </c>
    </row>
    <row r="663" spans="1:21" x14ac:dyDescent="0.2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4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  <c r="R663" s="6">
        <f t="shared" si="40"/>
        <v>119.98</v>
      </c>
      <c r="S663" t="str">
        <f t="shared" si="41"/>
        <v>January</v>
      </c>
      <c r="T663">
        <f t="shared" si="42"/>
        <v>1</v>
      </c>
      <c r="U663" t="str">
        <f t="shared" si="43"/>
        <v>Wednesday</v>
      </c>
    </row>
    <row r="664" spans="1:21" x14ac:dyDescent="0.2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4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  <c r="R664" s="6">
        <f t="shared" si="40"/>
        <v>352.5</v>
      </c>
      <c r="S664" t="str">
        <f t="shared" si="41"/>
        <v>March</v>
      </c>
      <c r="T664">
        <f t="shared" si="42"/>
        <v>3</v>
      </c>
      <c r="U664" t="str">
        <f t="shared" si="43"/>
        <v>Sunday</v>
      </c>
    </row>
    <row r="665" spans="1:21" x14ac:dyDescent="0.2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4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  <c r="R665" s="6">
        <f t="shared" si="40"/>
        <v>871</v>
      </c>
      <c r="S665" t="str">
        <f t="shared" si="41"/>
        <v>December</v>
      </c>
      <c r="T665">
        <f t="shared" si="42"/>
        <v>12</v>
      </c>
      <c r="U665" t="str">
        <f t="shared" si="43"/>
        <v>Monday</v>
      </c>
    </row>
    <row r="666" spans="1:21" x14ac:dyDescent="0.2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4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  <c r="R666" s="6">
        <f t="shared" si="40"/>
        <v>197.6</v>
      </c>
      <c r="S666" t="str">
        <f t="shared" si="41"/>
        <v>February</v>
      </c>
      <c r="T666">
        <f t="shared" si="42"/>
        <v>2</v>
      </c>
      <c r="U666" t="str">
        <f t="shared" si="43"/>
        <v>Thursday</v>
      </c>
    </row>
    <row r="667" spans="1:21" x14ac:dyDescent="0.2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4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  <c r="R667" s="6">
        <f t="shared" si="40"/>
        <v>194.52</v>
      </c>
      <c r="S667" t="str">
        <f t="shared" si="41"/>
        <v>April</v>
      </c>
      <c r="T667">
        <f t="shared" si="42"/>
        <v>4</v>
      </c>
      <c r="U667" t="str">
        <f t="shared" si="43"/>
        <v>Tuesday</v>
      </c>
    </row>
    <row r="668" spans="1:21" x14ac:dyDescent="0.2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4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  <c r="R668" s="6">
        <f t="shared" si="40"/>
        <v>173.22</v>
      </c>
      <c r="S668" t="str">
        <f t="shared" si="41"/>
        <v>February</v>
      </c>
      <c r="T668">
        <f t="shared" si="42"/>
        <v>2</v>
      </c>
      <c r="U668" t="str">
        <f t="shared" si="43"/>
        <v>Wednesday</v>
      </c>
    </row>
    <row r="669" spans="1:21" x14ac:dyDescent="0.2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4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  <c r="R669" s="6">
        <f t="shared" si="40"/>
        <v>71.88</v>
      </c>
      <c r="S669" t="str">
        <f t="shared" si="41"/>
        <v>February</v>
      </c>
      <c r="T669">
        <f t="shared" si="42"/>
        <v>2</v>
      </c>
      <c r="U669" t="str">
        <f t="shared" si="43"/>
        <v>Saturday</v>
      </c>
    </row>
    <row r="670" spans="1:21" x14ac:dyDescent="0.2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4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  <c r="R670" s="6">
        <f t="shared" si="40"/>
        <v>286.26</v>
      </c>
      <c r="S670" t="str">
        <f t="shared" si="41"/>
        <v>February</v>
      </c>
      <c r="T670">
        <f t="shared" si="42"/>
        <v>2</v>
      </c>
      <c r="U670" t="str">
        <f t="shared" si="43"/>
        <v>Saturday</v>
      </c>
    </row>
    <row r="671" spans="1:21" x14ac:dyDescent="0.2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4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  <c r="R671" s="6">
        <f t="shared" si="40"/>
        <v>81.239999999999995</v>
      </c>
      <c r="S671" t="str">
        <f t="shared" si="41"/>
        <v>January</v>
      </c>
      <c r="T671">
        <f t="shared" si="42"/>
        <v>1</v>
      </c>
      <c r="U671" t="str">
        <f t="shared" si="43"/>
        <v>Thursday</v>
      </c>
    </row>
    <row r="672" spans="1:21" x14ac:dyDescent="0.2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4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  <c r="R672" s="6">
        <f t="shared" si="40"/>
        <v>560.4</v>
      </c>
      <c r="S672" t="str">
        <f t="shared" si="41"/>
        <v>January</v>
      </c>
      <c r="T672">
        <f t="shared" si="42"/>
        <v>1</v>
      </c>
      <c r="U672" t="str">
        <f t="shared" si="43"/>
        <v>Monday</v>
      </c>
    </row>
    <row r="673" spans="1:21" x14ac:dyDescent="0.2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4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  <c r="R673" s="6">
        <f t="shared" si="40"/>
        <v>186.8</v>
      </c>
      <c r="S673" t="str">
        <f t="shared" si="41"/>
        <v>March</v>
      </c>
      <c r="T673">
        <f t="shared" si="42"/>
        <v>3</v>
      </c>
      <c r="U673" t="str">
        <f t="shared" si="43"/>
        <v>Saturday</v>
      </c>
    </row>
    <row r="674" spans="1:21" x14ac:dyDescent="0.2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4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  <c r="R674" s="6">
        <f t="shared" si="40"/>
        <v>220.23</v>
      </c>
      <c r="S674" t="str">
        <f t="shared" si="41"/>
        <v>February</v>
      </c>
      <c r="T674">
        <f t="shared" si="42"/>
        <v>2</v>
      </c>
      <c r="U674" t="str">
        <f t="shared" si="43"/>
        <v>Sunday</v>
      </c>
    </row>
    <row r="675" spans="1:21" x14ac:dyDescent="0.2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4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  <c r="R675" s="6">
        <f t="shared" si="40"/>
        <v>269.12</v>
      </c>
      <c r="S675" t="str">
        <f t="shared" si="41"/>
        <v>February</v>
      </c>
      <c r="T675">
        <f t="shared" si="42"/>
        <v>2</v>
      </c>
      <c r="U675" t="str">
        <f t="shared" si="43"/>
        <v>Friday</v>
      </c>
    </row>
    <row r="676" spans="1:21" x14ac:dyDescent="0.2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4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  <c r="R676" s="6">
        <f t="shared" si="40"/>
        <v>454.79999999999995</v>
      </c>
      <c r="S676" t="str">
        <f t="shared" si="41"/>
        <v>January</v>
      </c>
      <c r="T676">
        <f t="shared" si="42"/>
        <v>1</v>
      </c>
      <c r="U676" t="str">
        <f t="shared" si="43"/>
        <v>Thursday</v>
      </c>
    </row>
    <row r="677" spans="1:21" x14ac:dyDescent="0.2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4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  <c r="R677" s="6">
        <f t="shared" si="40"/>
        <v>167.54</v>
      </c>
      <c r="S677" t="str">
        <f t="shared" si="41"/>
        <v>February</v>
      </c>
      <c r="T677">
        <f t="shared" si="42"/>
        <v>2</v>
      </c>
      <c r="U677" t="str">
        <f t="shared" si="43"/>
        <v>Sunday</v>
      </c>
    </row>
    <row r="678" spans="1:21" x14ac:dyDescent="0.2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4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  <c r="R678" s="6">
        <f t="shared" si="40"/>
        <v>448.56</v>
      </c>
      <c r="S678" t="str">
        <f t="shared" si="41"/>
        <v>February</v>
      </c>
      <c r="T678">
        <f t="shared" si="42"/>
        <v>2</v>
      </c>
      <c r="U678" t="str">
        <f t="shared" si="43"/>
        <v>Tuesday</v>
      </c>
    </row>
    <row r="679" spans="1:21" x14ac:dyDescent="0.2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4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  <c r="R679" s="6">
        <f t="shared" si="40"/>
        <v>293.88</v>
      </c>
      <c r="S679" t="str">
        <f t="shared" si="41"/>
        <v>February</v>
      </c>
      <c r="T679">
        <f t="shared" si="42"/>
        <v>2</v>
      </c>
      <c r="U679" t="str">
        <f t="shared" si="43"/>
        <v>Saturday</v>
      </c>
    </row>
    <row r="680" spans="1:21" x14ac:dyDescent="0.2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4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  <c r="R680" s="6">
        <f t="shared" si="40"/>
        <v>589.5</v>
      </c>
      <c r="S680" t="str">
        <f t="shared" si="41"/>
        <v>July</v>
      </c>
      <c r="T680">
        <f t="shared" si="42"/>
        <v>7</v>
      </c>
      <c r="U680" t="str">
        <f t="shared" si="43"/>
        <v>Tuesday</v>
      </c>
    </row>
    <row r="681" spans="1:21" x14ac:dyDescent="0.2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4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  <c r="R681" s="6">
        <f t="shared" si="40"/>
        <v>291</v>
      </c>
      <c r="S681" t="str">
        <f t="shared" si="41"/>
        <v>November</v>
      </c>
      <c r="T681">
        <f t="shared" si="42"/>
        <v>11</v>
      </c>
      <c r="U681" t="str">
        <f t="shared" si="43"/>
        <v>Friday</v>
      </c>
    </row>
    <row r="682" spans="1:21" x14ac:dyDescent="0.2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4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  <c r="R682" s="6">
        <f t="shared" si="40"/>
        <v>39.479999999999997</v>
      </c>
      <c r="S682" t="str">
        <f t="shared" si="41"/>
        <v>December</v>
      </c>
      <c r="T682">
        <f t="shared" si="42"/>
        <v>12</v>
      </c>
      <c r="U682" t="str">
        <f t="shared" si="43"/>
        <v>Monday</v>
      </c>
    </row>
    <row r="683" spans="1:21" x14ac:dyDescent="0.2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4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  <c r="R683" s="6">
        <f t="shared" si="40"/>
        <v>34.81</v>
      </c>
      <c r="S683" t="str">
        <f t="shared" si="41"/>
        <v>January</v>
      </c>
      <c r="T683">
        <f t="shared" si="42"/>
        <v>1</v>
      </c>
      <c r="U683" t="str">
        <f t="shared" si="43"/>
        <v>Monday</v>
      </c>
    </row>
    <row r="684" spans="1:21" x14ac:dyDescent="0.2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4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  <c r="R684" s="6">
        <f t="shared" si="40"/>
        <v>295.92</v>
      </c>
      <c r="S684" t="str">
        <f t="shared" si="41"/>
        <v>September</v>
      </c>
      <c r="T684">
        <f t="shared" si="42"/>
        <v>9</v>
      </c>
      <c r="U684" t="str">
        <f t="shared" si="43"/>
        <v>Sunday</v>
      </c>
    </row>
    <row r="685" spans="1:21" x14ac:dyDescent="0.2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4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  <c r="R685" s="6">
        <f t="shared" si="40"/>
        <v>42.96</v>
      </c>
      <c r="S685" t="str">
        <f t="shared" si="41"/>
        <v>February</v>
      </c>
      <c r="T685">
        <f t="shared" si="42"/>
        <v>2</v>
      </c>
      <c r="U685" t="str">
        <f t="shared" si="43"/>
        <v>Wednesday</v>
      </c>
    </row>
    <row r="686" spans="1:21" x14ac:dyDescent="0.2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4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  <c r="R686" s="6">
        <f t="shared" si="40"/>
        <v>138.47999999999999</v>
      </c>
      <c r="S686" t="str">
        <f t="shared" si="41"/>
        <v>January</v>
      </c>
      <c r="T686">
        <f t="shared" si="42"/>
        <v>1</v>
      </c>
      <c r="U686" t="str">
        <f t="shared" si="43"/>
        <v>Thursday</v>
      </c>
    </row>
    <row r="687" spans="1:21" x14ac:dyDescent="0.2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4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  <c r="R687" s="6">
        <f t="shared" si="40"/>
        <v>98.2</v>
      </c>
      <c r="S687" t="str">
        <f t="shared" si="41"/>
        <v>August</v>
      </c>
      <c r="T687">
        <f t="shared" si="42"/>
        <v>8</v>
      </c>
      <c r="U687" t="str">
        <f t="shared" si="43"/>
        <v>Thursday</v>
      </c>
    </row>
    <row r="688" spans="1:21" x14ac:dyDescent="0.2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4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  <c r="R688" s="6">
        <f t="shared" si="40"/>
        <v>129.66</v>
      </c>
      <c r="S688" t="str">
        <f t="shared" si="41"/>
        <v>August</v>
      </c>
      <c r="T688">
        <f t="shared" si="42"/>
        <v>8</v>
      </c>
      <c r="U688" t="str">
        <f t="shared" si="43"/>
        <v>Thursday</v>
      </c>
    </row>
    <row r="689" spans="1:21" x14ac:dyDescent="0.2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4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  <c r="R689" s="6">
        <f t="shared" si="40"/>
        <v>635.6</v>
      </c>
      <c r="S689" t="str">
        <f t="shared" si="41"/>
        <v>January</v>
      </c>
      <c r="T689">
        <f t="shared" si="42"/>
        <v>1</v>
      </c>
      <c r="U689" t="str">
        <f t="shared" si="43"/>
        <v>Wednesday</v>
      </c>
    </row>
    <row r="690" spans="1:21" x14ac:dyDescent="0.2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4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  <c r="R690" s="6">
        <f t="shared" si="40"/>
        <v>145.76</v>
      </c>
      <c r="S690" t="str">
        <f t="shared" si="41"/>
        <v>March</v>
      </c>
      <c r="T690">
        <f t="shared" si="42"/>
        <v>3</v>
      </c>
      <c r="U690" t="str">
        <f t="shared" si="43"/>
        <v>Wednesday</v>
      </c>
    </row>
    <row r="691" spans="1:21" x14ac:dyDescent="0.2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4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  <c r="R691" s="6">
        <f t="shared" si="40"/>
        <v>201.29999999999998</v>
      </c>
      <c r="S691" t="str">
        <f t="shared" si="41"/>
        <v>February</v>
      </c>
      <c r="T691">
        <f t="shared" si="42"/>
        <v>2</v>
      </c>
      <c r="U691" t="str">
        <f t="shared" si="43"/>
        <v>Friday</v>
      </c>
    </row>
    <row r="692" spans="1:21" x14ac:dyDescent="0.2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4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  <c r="R692" s="6">
        <f t="shared" si="40"/>
        <v>631.71</v>
      </c>
      <c r="S692" t="str">
        <f t="shared" si="41"/>
        <v>January</v>
      </c>
      <c r="T692">
        <f t="shared" si="42"/>
        <v>1</v>
      </c>
      <c r="U692" t="str">
        <f t="shared" si="43"/>
        <v>Friday</v>
      </c>
    </row>
    <row r="693" spans="1:21" x14ac:dyDescent="0.2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4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  <c r="R693" s="6">
        <f t="shared" si="40"/>
        <v>385.28</v>
      </c>
      <c r="S693" t="str">
        <f t="shared" si="41"/>
        <v>December</v>
      </c>
      <c r="T693">
        <f t="shared" si="42"/>
        <v>12</v>
      </c>
      <c r="U693" t="str">
        <f t="shared" si="43"/>
        <v>Tuesday</v>
      </c>
    </row>
    <row r="694" spans="1:21" x14ac:dyDescent="0.2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4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  <c r="R694" s="6">
        <f t="shared" si="40"/>
        <v>486.3</v>
      </c>
      <c r="S694" t="str">
        <f t="shared" si="41"/>
        <v>April</v>
      </c>
      <c r="T694">
        <f t="shared" si="42"/>
        <v>4</v>
      </c>
      <c r="U694" t="str">
        <f t="shared" si="43"/>
        <v>Wednesday</v>
      </c>
    </row>
    <row r="695" spans="1:21" x14ac:dyDescent="0.2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4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  <c r="R695" s="6">
        <f t="shared" si="40"/>
        <v>513.66</v>
      </c>
      <c r="S695" t="str">
        <f t="shared" si="41"/>
        <v>October</v>
      </c>
      <c r="T695">
        <f t="shared" si="42"/>
        <v>10</v>
      </c>
      <c r="U695" t="str">
        <f t="shared" si="43"/>
        <v>Wednesday</v>
      </c>
    </row>
    <row r="696" spans="1:21" x14ac:dyDescent="0.2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4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  <c r="R696" s="6">
        <f t="shared" si="40"/>
        <v>473.40000000000003</v>
      </c>
      <c r="S696" t="str">
        <f t="shared" si="41"/>
        <v>January</v>
      </c>
      <c r="T696">
        <f t="shared" si="42"/>
        <v>1</v>
      </c>
      <c r="U696" t="str">
        <f t="shared" si="43"/>
        <v>Wednesday</v>
      </c>
    </row>
    <row r="697" spans="1:21" x14ac:dyDescent="0.2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4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  <c r="R697" s="6">
        <f t="shared" si="40"/>
        <v>436.85</v>
      </c>
      <c r="S697" t="str">
        <f t="shared" si="41"/>
        <v>January</v>
      </c>
      <c r="T697">
        <f t="shared" si="42"/>
        <v>1</v>
      </c>
      <c r="U697" t="str">
        <f t="shared" si="43"/>
        <v>Tuesday</v>
      </c>
    </row>
    <row r="698" spans="1:21" x14ac:dyDescent="0.2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4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  <c r="R698" s="6">
        <f t="shared" si="40"/>
        <v>108.16</v>
      </c>
      <c r="S698" t="str">
        <f t="shared" si="41"/>
        <v>January</v>
      </c>
      <c r="T698">
        <f t="shared" si="42"/>
        <v>1</v>
      </c>
      <c r="U698" t="str">
        <f t="shared" si="43"/>
        <v>Tuesday</v>
      </c>
    </row>
    <row r="699" spans="1:21" x14ac:dyDescent="0.2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4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  <c r="R699" s="6">
        <f t="shared" si="40"/>
        <v>248.76</v>
      </c>
      <c r="S699" t="str">
        <f t="shared" si="41"/>
        <v>June</v>
      </c>
      <c r="T699">
        <f t="shared" si="42"/>
        <v>6</v>
      </c>
      <c r="U699" t="str">
        <f t="shared" si="43"/>
        <v>Saturday</v>
      </c>
    </row>
    <row r="700" spans="1:21" x14ac:dyDescent="0.2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4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  <c r="R700" s="6">
        <f t="shared" si="40"/>
        <v>626.22</v>
      </c>
      <c r="S700" t="str">
        <f t="shared" si="41"/>
        <v>February</v>
      </c>
      <c r="T700">
        <f t="shared" si="42"/>
        <v>2</v>
      </c>
      <c r="U700" t="str">
        <f t="shared" si="43"/>
        <v>Tuesday</v>
      </c>
    </row>
    <row r="701" spans="1:21" x14ac:dyDescent="0.2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4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  <c r="R701" s="6">
        <f t="shared" si="40"/>
        <v>975</v>
      </c>
      <c r="S701" t="str">
        <f t="shared" si="41"/>
        <v>December</v>
      </c>
      <c r="T701">
        <f t="shared" si="42"/>
        <v>12</v>
      </c>
      <c r="U701" t="str">
        <f t="shared" si="43"/>
        <v>Sunday</v>
      </c>
    </row>
    <row r="702" spans="1:21" x14ac:dyDescent="0.2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4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  <c r="R702" s="6">
        <f t="shared" si="40"/>
        <v>483.28</v>
      </c>
      <c r="S702" t="str">
        <f t="shared" si="41"/>
        <v>July</v>
      </c>
      <c r="T702">
        <f t="shared" si="42"/>
        <v>7</v>
      </c>
      <c r="U702" t="str">
        <f t="shared" si="43"/>
        <v>Tuesday</v>
      </c>
    </row>
    <row r="703" spans="1:21" x14ac:dyDescent="0.2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4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  <c r="R703" s="6">
        <f t="shared" si="40"/>
        <v>96.960000000000008</v>
      </c>
      <c r="S703" t="str">
        <f t="shared" si="41"/>
        <v>March</v>
      </c>
      <c r="T703">
        <f t="shared" si="42"/>
        <v>3</v>
      </c>
      <c r="U703" t="str">
        <f t="shared" si="43"/>
        <v>Wednesday</v>
      </c>
    </row>
    <row r="704" spans="1:21" x14ac:dyDescent="0.2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4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  <c r="R704" s="6">
        <f t="shared" si="40"/>
        <v>197.7</v>
      </c>
      <c r="S704" t="str">
        <f t="shared" si="41"/>
        <v>February</v>
      </c>
      <c r="T704">
        <f t="shared" si="42"/>
        <v>2</v>
      </c>
      <c r="U704" t="str">
        <f t="shared" si="43"/>
        <v>Wednesday</v>
      </c>
    </row>
    <row r="705" spans="1:21" x14ac:dyDescent="0.2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4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  <c r="R705" s="6">
        <f t="shared" si="40"/>
        <v>724.23</v>
      </c>
      <c r="S705" t="str">
        <f t="shared" si="41"/>
        <v>June</v>
      </c>
      <c r="T705">
        <f t="shared" si="42"/>
        <v>6</v>
      </c>
      <c r="U705" t="str">
        <f t="shared" si="43"/>
        <v>Saturday</v>
      </c>
    </row>
    <row r="706" spans="1:21" x14ac:dyDescent="0.2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4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  <c r="R706" s="6">
        <f t="shared" si="40"/>
        <v>795.51</v>
      </c>
      <c r="S706" t="str">
        <f t="shared" si="41"/>
        <v>February</v>
      </c>
      <c r="T706">
        <f t="shared" si="42"/>
        <v>2</v>
      </c>
      <c r="U706" t="str">
        <f t="shared" si="43"/>
        <v>Sunday</v>
      </c>
    </row>
    <row r="707" spans="1:21" x14ac:dyDescent="0.2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4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  <c r="R707" s="6">
        <f t="shared" ref="R707:R770" si="44">H707*G707</f>
        <v>502.39</v>
      </c>
      <c r="S707" t="str">
        <f t="shared" ref="S707:S770" si="45">TEXT(K707,"mmmm")</f>
        <v>March</v>
      </c>
      <c r="T707">
        <f t="shared" ref="T707:T770" si="46">MONTH(K707)</f>
        <v>3</v>
      </c>
      <c r="U707" t="str">
        <f t="shared" ref="U707:U770" si="47">TEXT(K707,"dddd")</f>
        <v>Friday</v>
      </c>
    </row>
    <row r="708" spans="1:21" x14ac:dyDescent="0.2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4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  <c r="R708" s="6">
        <f t="shared" si="44"/>
        <v>172</v>
      </c>
      <c r="S708" t="str">
        <f t="shared" si="45"/>
        <v>January</v>
      </c>
      <c r="T708">
        <f t="shared" si="46"/>
        <v>1</v>
      </c>
      <c r="U708" t="str">
        <f t="shared" si="47"/>
        <v>Thursday</v>
      </c>
    </row>
    <row r="709" spans="1:21" x14ac:dyDescent="0.2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4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  <c r="R709" s="6">
        <f t="shared" si="44"/>
        <v>68.98</v>
      </c>
      <c r="S709" t="str">
        <f t="shared" si="45"/>
        <v>January</v>
      </c>
      <c r="T709">
        <f t="shared" si="46"/>
        <v>1</v>
      </c>
      <c r="U709" t="str">
        <f t="shared" si="47"/>
        <v>Monday</v>
      </c>
    </row>
    <row r="710" spans="1:21" x14ac:dyDescent="0.2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4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  <c r="R710" s="6">
        <f t="shared" si="44"/>
        <v>124.96</v>
      </c>
      <c r="S710" t="str">
        <f t="shared" si="45"/>
        <v>January</v>
      </c>
      <c r="T710">
        <f t="shared" si="46"/>
        <v>1</v>
      </c>
      <c r="U710" t="str">
        <f t="shared" si="47"/>
        <v>Sunday</v>
      </c>
    </row>
    <row r="711" spans="1:21" x14ac:dyDescent="0.2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4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  <c r="R711" s="6">
        <f t="shared" si="44"/>
        <v>77.099999999999994</v>
      </c>
      <c r="S711" t="str">
        <f t="shared" si="45"/>
        <v>January</v>
      </c>
      <c r="T711">
        <f t="shared" si="46"/>
        <v>1</v>
      </c>
      <c r="U711" t="str">
        <f t="shared" si="47"/>
        <v>Thursday</v>
      </c>
    </row>
    <row r="712" spans="1:21" x14ac:dyDescent="0.2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4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  <c r="R712" s="6">
        <f t="shared" si="44"/>
        <v>483.72</v>
      </c>
      <c r="S712" t="str">
        <f t="shared" si="45"/>
        <v>February</v>
      </c>
      <c r="T712">
        <f t="shared" si="46"/>
        <v>2</v>
      </c>
      <c r="U712" t="str">
        <f t="shared" si="47"/>
        <v>Thursday</v>
      </c>
    </row>
    <row r="713" spans="1:21" x14ac:dyDescent="0.2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4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  <c r="R713" s="6">
        <f t="shared" si="44"/>
        <v>302.12</v>
      </c>
      <c r="S713" t="str">
        <f t="shared" si="45"/>
        <v>March</v>
      </c>
      <c r="T713">
        <f t="shared" si="46"/>
        <v>3</v>
      </c>
      <c r="U713" t="str">
        <f t="shared" si="47"/>
        <v>Tuesday</v>
      </c>
    </row>
    <row r="714" spans="1:21" x14ac:dyDescent="0.2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4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  <c r="R714" s="6">
        <f t="shared" si="44"/>
        <v>698.67</v>
      </c>
      <c r="S714" t="str">
        <f t="shared" si="45"/>
        <v>February</v>
      </c>
      <c r="T714">
        <f t="shared" si="46"/>
        <v>2</v>
      </c>
      <c r="U714" t="str">
        <f t="shared" si="47"/>
        <v>Tuesday</v>
      </c>
    </row>
    <row r="715" spans="1:21" x14ac:dyDescent="0.2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4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  <c r="R715" s="6">
        <f t="shared" si="44"/>
        <v>124.64999999999999</v>
      </c>
      <c r="S715" t="str">
        <f t="shared" si="45"/>
        <v>April</v>
      </c>
      <c r="T715">
        <f t="shared" si="46"/>
        <v>4</v>
      </c>
      <c r="U715" t="str">
        <f t="shared" si="47"/>
        <v>Tuesday</v>
      </c>
    </row>
    <row r="716" spans="1:21" x14ac:dyDescent="0.2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4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  <c r="R716" s="6">
        <f t="shared" si="44"/>
        <v>789.6</v>
      </c>
      <c r="S716" t="str">
        <f t="shared" si="45"/>
        <v>January</v>
      </c>
      <c r="T716">
        <f t="shared" si="46"/>
        <v>1</v>
      </c>
      <c r="U716" t="str">
        <f t="shared" si="47"/>
        <v>Thursday</v>
      </c>
    </row>
    <row r="717" spans="1:21" x14ac:dyDescent="0.2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4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  <c r="R717" s="6">
        <f t="shared" si="44"/>
        <v>178.4</v>
      </c>
      <c r="S717" t="str">
        <f t="shared" si="45"/>
        <v>June</v>
      </c>
      <c r="T717">
        <f t="shared" si="46"/>
        <v>6</v>
      </c>
      <c r="U717" t="str">
        <f t="shared" si="47"/>
        <v>Sunday</v>
      </c>
    </row>
    <row r="718" spans="1:21" x14ac:dyDescent="0.2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4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  <c r="R718" s="6">
        <f t="shared" si="44"/>
        <v>500.21999999999997</v>
      </c>
      <c r="S718" t="str">
        <f t="shared" si="45"/>
        <v>March</v>
      </c>
      <c r="T718">
        <f t="shared" si="46"/>
        <v>3</v>
      </c>
      <c r="U718" t="str">
        <f t="shared" si="47"/>
        <v>Thursday</v>
      </c>
    </row>
    <row r="719" spans="1:21" x14ac:dyDescent="0.2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4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  <c r="R719" s="6">
        <f t="shared" si="44"/>
        <v>35.82</v>
      </c>
      <c r="S719" t="str">
        <f t="shared" si="45"/>
        <v>January</v>
      </c>
      <c r="T719">
        <f t="shared" si="46"/>
        <v>1</v>
      </c>
      <c r="U719" t="str">
        <f t="shared" si="47"/>
        <v>Saturday</v>
      </c>
    </row>
    <row r="720" spans="1:21" x14ac:dyDescent="0.2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4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  <c r="R720" s="6">
        <f t="shared" si="44"/>
        <v>136.14000000000001</v>
      </c>
      <c r="S720" t="str">
        <f t="shared" si="45"/>
        <v>February</v>
      </c>
      <c r="T720">
        <f t="shared" si="46"/>
        <v>2</v>
      </c>
      <c r="U720" t="str">
        <f t="shared" si="47"/>
        <v>Sunday</v>
      </c>
    </row>
    <row r="721" spans="1:21" x14ac:dyDescent="0.2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4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  <c r="R721" s="6">
        <f t="shared" si="44"/>
        <v>104.88</v>
      </c>
      <c r="S721" t="str">
        <f t="shared" si="45"/>
        <v>January</v>
      </c>
      <c r="T721">
        <f t="shared" si="46"/>
        <v>1</v>
      </c>
      <c r="U721" t="str">
        <f t="shared" si="47"/>
        <v>Friday</v>
      </c>
    </row>
    <row r="722" spans="1:21" x14ac:dyDescent="0.2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4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  <c r="R722" s="6">
        <f t="shared" si="44"/>
        <v>178.92</v>
      </c>
      <c r="S722" t="str">
        <f t="shared" si="45"/>
        <v>February</v>
      </c>
      <c r="T722">
        <f t="shared" si="46"/>
        <v>2</v>
      </c>
      <c r="U722" t="str">
        <f t="shared" si="47"/>
        <v>Saturday</v>
      </c>
    </row>
    <row r="723" spans="1:21" x14ac:dyDescent="0.2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4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  <c r="R723" s="6">
        <f t="shared" si="44"/>
        <v>815.67</v>
      </c>
      <c r="S723" t="str">
        <f t="shared" si="45"/>
        <v>January</v>
      </c>
      <c r="T723">
        <f t="shared" si="46"/>
        <v>1</v>
      </c>
      <c r="U723" t="str">
        <f t="shared" si="47"/>
        <v>Friday</v>
      </c>
    </row>
    <row r="724" spans="1:21" x14ac:dyDescent="0.2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4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  <c r="R724" s="6">
        <f t="shared" si="44"/>
        <v>132.35999999999999</v>
      </c>
      <c r="S724" t="str">
        <f t="shared" si="45"/>
        <v>March</v>
      </c>
      <c r="T724">
        <f t="shared" si="46"/>
        <v>3</v>
      </c>
      <c r="U724" t="str">
        <f t="shared" si="47"/>
        <v>Monday</v>
      </c>
    </row>
    <row r="725" spans="1:21" x14ac:dyDescent="0.2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4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  <c r="R725" s="6">
        <f t="shared" si="44"/>
        <v>257.39000000000004</v>
      </c>
      <c r="S725" t="str">
        <f t="shared" si="45"/>
        <v>November</v>
      </c>
      <c r="T725">
        <f t="shared" si="46"/>
        <v>11</v>
      </c>
      <c r="U725" t="str">
        <f t="shared" si="47"/>
        <v>Friday</v>
      </c>
    </row>
    <row r="726" spans="1:21" x14ac:dyDescent="0.2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4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  <c r="R726" s="6">
        <f t="shared" si="44"/>
        <v>93.36</v>
      </c>
      <c r="S726" t="str">
        <f t="shared" si="45"/>
        <v>April</v>
      </c>
      <c r="T726">
        <f t="shared" si="46"/>
        <v>4</v>
      </c>
      <c r="U726" t="str">
        <f t="shared" si="47"/>
        <v>Tuesday</v>
      </c>
    </row>
    <row r="727" spans="1:21" x14ac:dyDescent="0.2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4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  <c r="R727" s="6">
        <f t="shared" si="44"/>
        <v>228</v>
      </c>
      <c r="S727" t="str">
        <f t="shared" si="45"/>
        <v>June</v>
      </c>
      <c r="T727">
        <f t="shared" si="46"/>
        <v>6</v>
      </c>
      <c r="U727" t="str">
        <f t="shared" si="47"/>
        <v>Sunday</v>
      </c>
    </row>
    <row r="728" spans="1:21" x14ac:dyDescent="0.2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4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  <c r="R728" s="6">
        <f t="shared" si="44"/>
        <v>166.71</v>
      </c>
      <c r="S728" t="str">
        <f t="shared" si="45"/>
        <v>August</v>
      </c>
      <c r="T728">
        <f t="shared" si="46"/>
        <v>8</v>
      </c>
      <c r="U728" t="str">
        <f t="shared" si="47"/>
        <v>Thursday</v>
      </c>
    </row>
    <row r="729" spans="1:21" x14ac:dyDescent="0.2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4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  <c r="R729" s="6">
        <f t="shared" si="44"/>
        <v>697.4</v>
      </c>
      <c r="S729" t="str">
        <f t="shared" si="45"/>
        <v>May</v>
      </c>
      <c r="T729">
        <f t="shared" si="46"/>
        <v>5</v>
      </c>
      <c r="U729" t="str">
        <f t="shared" si="47"/>
        <v>Friday</v>
      </c>
    </row>
    <row r="730" spans="1:21" x14ac:dyDescent="0.2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4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  <c r="R730" s="6">
        <f t="shared" si="44"/>
        <v>389.04</v>
      </c>
      <c r="S730" t="str">
        <f t="shared" si="45"/>
        <v>March</v>
      </c>
      <c r="T730">
        <f t="shared" si="46"/>
        <v>3</v>
      </c>
      <c r="U730" t="str">
        <f t="shared" si="47"/>
        <v>Saturday</v>
      </c>
    </row>
    <row r="731" spans="1:21" x14ac:dyDescent="0.2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4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  <c r="R731" s="6">
        <f t="shared" si="44"/>
        <v>365.26</v>
      </c>
      <c r="S731" t="str">
        <f t="shared" si="45"/>
        <v>September</v>
      </c>
      <c r="T731">
        <f t="shared" si="46"/>
        <v>9</v>
      </c>
      <c r="U731" t="str">
        <f t="shared" si="47"/>
        <v>Tuesday</v>
      </c>
    </row>
    <row r="732" spans="1:21" x14ac:dyDescent="0.2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4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  <c r="R732" s="6">
        <f t="shared" si="44"/>
        <v>89.28</v>
      </c>
      <c r="S732" t="str">
        <f t="shared" si="45"/>
        <v>January</v>
      </c>
      <c r="T732">
        <f t="shared" si="46"/>
        <v>1</v>
      </c>
      <c r="U732" t="str">
        <f t="shared" si="47"/>
        <v>Thursday</v>
      </c>
    </row>
    <row r="733" spans="1:21" x14ac:dyDescent="0.2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4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  <c r="R733" s="6">
        <f t="shared" si="44"/>
        <v>168</v>
      </c>
      <c r="S733" t="str">
        <f t="shared" si="45"/>
        <v>February</v>
      </c>
      <c r="T733">
        <f t="shared" si="46"/>
        <v>2</v>
      </c>
      <c r="U733" t="str">
        <f t="shared" si="47"/>
        <v>Thursday</v>
      </c>
    </row>
    <row r="734" spans="1:21" x14ac:dyDescent="0.2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4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  <c r="R734" s="6">
        <f t="shared" si="44"/>
        <v>19.7</v>
      </c>
      <c r="S734" t="str">
        <f t="shared" si="45"/>
        <v>August</v>
      </c>
      <c r="T734">
        <f t="shared" si="46"/>
        <v>8</v>
      </c>
      <c r="U734" t="str">
        <f t="shared" si="47"/>
        <v>Friday</v>
      </c>
    </row>
    <row r="735" spans="1:21" x14ac:dyDescent="0.2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4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  <c r="R735" s="6">
        <f t="shared" si="44"/>
        <v>531.16</v>
      </c>
      <c r="S735" t="str">
        <f t="shared" si="45"/>
        <v>January</v>
      </c>
      <c r="T735">
        <f t="shared" si="46"/>
        <v>1</v>
      </c>
      <c r="U735" t="str">
        <f t="shared" si="47"/>
        <v>Thursday</v>
      </c>
    </row>
    <row r="736" spans="1:21" x14ac:dyDescent="0.2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4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  <c r="R736" s="6">
        <f t="shared" si="44"/>
        <v>53.72</v>
      </c>
      <c r="S736" t="str">
        <f t="shared" si="45"/>
        <v>January</v>
      </c>
      <c r="T736">
        <f t="shared" si="46"/>
        <v>1</v>
      </c>
      <c r="U736" t="str">
        <f t="shared" si="47"/>
        <v>Thursday</v>
      </c>
    </row>
    <row r="737" spans="1:21" x14ac:dyDescent="0.2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4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  <c r="R737" s="6">
        <f t="shared" si="44"/>
        <v>819.5</v>
      </c>
      <c r="S737" t="str">
        <f t="shared" si="45"/>
        <v>October</v>
      </c>
      <c r="T737">
        <f t="shared" si="46"/>
        <v>10</v>
      </c>
      <c r="U737" t="str">
        <f t="shared" si="47"/>
        <v>Thursday</v>
      </c>
    </row>
    <row r="738" spans="1:21" x14ac:dyDescent="0.2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4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  <c r="R738" s="6">
        <f t="shared" si="44"/>
        <v>568.4</v>
      </c>
      <c r="S738" t="str">
        <f t="shared" si="45"/>
        <v>March</v>
      </c>
      <c r="T738">
        <f t="shared" si="46"/>
        <v>3</v>
      </c>
      <c r="U738" t="str">
        <f t="shared" si="47"/>
        <v>Saturday</v>
      </c>
    </row>
    <row r="739" spans="1:21" x14ac:dyDescent="0.2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4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  <c r="R739" s="6">
        <f t="shared" si="44"/>
        <v>587.6</v>
      </c>
      <c r="S739" t="str">
        <f t="shared" si="45"/>
        <v>January</v>
      </c>
      <c r="T739">
        <f t="shared" si="46"/>
        <v>1</v>
      </c>
      <c r="U739" t="str">
        <f t="shared" si="47"/>
        <v>Tuesday</v>
      </c>
    </row>
    <row r="740" spans="1:21" x14ac:dyDescent="0.2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4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  <c r="R740" s="6">
        <f t="shared" si="44"/>
        <v>732.48</v>
      </c>
      <c r="S740" t="str">
        <f t="shared" si="45"/>
        <v>December</v>
      </c>
      <c r="T740">
        <f t="shared" si="46"/>
        <v>12</v>
      </c>
      <c r="U740" t="str">
        <f t="shared" si="47"/>
        <v>Sunday</v>
      </c>
    </row>
    <row r="741" spans="1:21" x14ac:dyDescent="0.2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4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  <c r="R741" s="6">
        <f t="shared" si="44"/>
        <v>845.64</v>
      </c>
      <c r="S741" t="str">
        <f t="shared" si="45"/>
        <v>March</v>
      </c>
      <c r="T741">
        <f t="shared" si="46"/>
        <v>3</v>
      </c>
      <c r="U741" t="str">
        <f t="shared" si="47"/>
        <v>Wednesday</v>
      </c>
    </row>
    <row r="742" spans="1:21" x14ac:dyDescent="0.2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4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  <c r="R742" s="6">
        <f t="shared" si="44"/>
        <v>389.27</v>
      </c>
      <c r="S742" t="str">
        <f t="shared" si="45"/>
        <v>March</v>
      </c>
      <c r="T742">
        <f t="shared" si="46"/>
        <v>3</v>
      </c>
      <c r="U742" t="str">
        <f t="shared" si="47"/>
        <v>Saturday</v>
      </c>
    </row>
    <row r="743" spans="1:21" x14ac:dyDescent="0.2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4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  <c r="R743" s="6">
        <f t="shared" si="44"/>
        <v>84.83</v>
      </c>
      <c r="S743" t="str">
        <f t="shared" si="45"/>
        <v>January</v>
      </c>
      <c r="T743">
        <f t="shared" si="46"/>
        <v>1</v>
      </c>
      <c r="U743" t="str">
        <f t="shared" si="47"/>
        <v>Monday</v>
      </c>
    </row>
    <row r="744" spans="1:21" x14ac:dyDescent="0.2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4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  <c r="R744" s="6">
        <f t="shared" si="44"/>
        <v>143.26</v>
      </c>
      <c r="S744" t="str">
        <f t="shared" si="45"/>
        <v>December</v>
      </c>
      <c r="T744">
        <f t="shared" si="46"/>
        <v>12</v>
      </c>
      <c r="U744" t="str">
        <f t="shared" si="47"/>
        <v>Monday</v>
      </c>
    </row>
    <row r="745" spans="1:21" x14ac:dyDescent="0.2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4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  <c r="R745" s="6">
        <f t="shared" si="44"/>
        <v>75.38</v>
      </c>
      <c r="S745" t="str">
        <f t="shared" si="45"/>
        <v>February</v>
      </c>
      <c r="T745">
        <f t="shared" si="46"/>
        <v>2</v>
      </c>
      <c r="U745" t="str">
        <f t="shared" si="47"/>
        <v>Wednesday</v>
      </c>
    </row>
    <row r="746" spans="1:21" x14ac:dyDescent="0.2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4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  <c r="R746" s="6">
        <f t="shared" si="44"/>
        <v>253.36</v>
      </c>
      <c r="S746" t="str">
        <f t="shared" si="45"/>
        <v>February</v>
      </c>
      <c r="T746">
        <f t="shared" si="46"/>
        <v>2</v>
      </c>
      <c r="U746" t="str">
        <f t="shared" si="47"/>
        <v>Friday</v>
      </c>
    </row>
    <row r="747" spans="1:21" x14ac:dyDescent="0.2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4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  <c r="R747" s="6">
        <f t="shared" si="44"/>
        <v>38.42</v>
      </c>
      <c r="S747" t="str">
        <f t="shared" si="45"/>
        <v>February</v>
      </c>
      <c r="T747">
        <f t="shared" si="46"/>
        <v>2</v>
      </c>
      <c r="U747" t="str">
        <f t="shared" si="47"/>
        <v>Saturday</v>
      </c>
    </row>
    <row r="748" spans="1:21" x14ac:dyDescent="0.2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4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  <c r="R748" s="6">
        <f t="shared" si="44"/>
        <v>652.30000000000007</v>
      </c>
      <c r="S748" t="str">
        <f t="shared" si="45"/>
        <v>August</v>
      </c>
      <c r="T748">
        <f t="shared" si="46"/>
        <v>8</v>
      </c>
      <c r="U748" t="str">
        <f t="shared" si="47"/>
        <v>Thursday</v>
      </c>
    </row>
    <row r="749" spans="1:21" x14ac:dyDescent="0.2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4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  <c r="R749" s="6">
        <f t="shared" si="44"/>
        <v>52.65</v>
      </c>
      <c r="S749" t="str">
        <f t="shared" si="45"/>
        <v>January</v>
      </c>
      <c r="T749">
        <f t="shared" si="46"/>
        <v>1</v>
      </c>
      <c r="U749" t="str">
        <f t="shared" si="47"/>
        <v>Wednesday</v>
      </c>
    </row>
    <row r="750" spans="1:21" x14ac:dyDescent="0.2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4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  <c r="R750" s="6">
        <f t="shared" si="44"/>
        <v>110.60999999999999</v>
      </c>
      <c r="S750" t="str">
        <f t="shared" si="45"/>
        <v>March</v>
      </c>
      <c r="T750">
        <f t="shared" si="46"/>
        <v>3</v>
      </c>
      <c r="U750" t="str">
        <f t="shared" si="47"/>
        <v>Tuesday</v>
      </c>
    </row>
    <row r="751" spans="1:21" x14ac:dyDescent="0.2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4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  <c r="R751" s="6">
        <f t="shared" si="44"/>
        <v>568.61</v>
      </c>
      <c r="S751" t="str">
        <f t="shared" si="45"/>
        <v>January</v>
      </c>
      <c r="T751">
        <f t="shared" si="46"/>
        <v>1</v>
      </c>
      <c r="U751" t="str">
        <f t="shared" si="47"/>
        <v>Tuesday</v>
      </c>
    </row>
    <row r="752" spans="1:21" x14ac:dyDescent="0.2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4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  <c r="R752" s="6">
        <f t="shared" si="44"/>
        <v>89.28</v>
      </c>
      <c r="S752" t="str">
        <f t="shared" si="45"/>
        <v>March</v>
      </c>
      <c r="T752">
        <f t="shared" si="46"/>
        <v>3</v>
      </c>
      <c r="U752" t="str">
        <f t="shared" si="47"/>
        <v>Thursday</v>
      </c>
    </row>
    <row r="753" spans="1:21" x14ac:dyDescent="0.2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4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  <c r="R753" s="6">
        <f t="shared" si="44"/>
        <v>136.4</v>
      </c>
      <c r="S753" t="str">
        <f t="shared" si="45"/>
        <v>March</v>
      </c>
      <c r="T753">
        <f t="shared" si="46"/>
        <v>3</v>
      </c>
      <c r="U753" t="str">
        <f t="shared" si="47"/>
        <v>Saturday</v>
      </c>
    </row>
    <row r="754" spans="1:21" x14ac:dyDescent="0.2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4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  <c r="R754" s="6">
        <f t="shared" si="44"/>
        <v>174.20000000000002</v>
      </c>
      <c r="S754" t="str">
        <f t="shared" si="45"/>
        <v>February</v>
      </c>
      <c r="T754">
        <f t="shared" si="46"/>
        <v>2</v>
      </c>
      <c r="U754" t="str">
        <f t="shared" si="47"/>
        <v>Friday</v>
      </c>
    </row>
    <row r="755" spans="1:21" x14ac:dyDescent="0.2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4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  <c r="R755" s="6">
        <f t="shared" si="44"/>
        <v>366.4</v>
      </c>
      <c r="S755" t="str">
        <f t="shared" si="45"/>
        <v>January</v>
      </c>
      <c r="T755">
        <f t="shared" si="46"/>
        <v>1</v>
      </c>
      <c r="U755" t="str">
        <f t="shared" si="47"/>
        <v>Thursday</v>
      </c>
    </row>
    <row r="756" spans="1:21" x14ac:dyDescent="0.2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4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  <c r="R756" s="6">
        <f t="shared" si="44"/>
        <v>254.61</v>
      </c>
      <c r="S756" t="str">
        <f t="shared" si="45"/>
        <v>January</v>
      </c>
      <c r="T756">
        <f t="shared" si="46"/>
        <v>1</v>
      </c>
      <c r="U756" t="str">
        <f t="shared" si="47"/>
        <v>Friday</v>
      </c>
    </row>
    <row r="757" spans="1:21" x14ac:dyDescent="0.2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4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  <c r="R757" s="6">
        <f t="shared" si="44"/>
        <v>778.32</v>
      </c>
      <c r="S757" t="str">
        <f t="shared" si="45"/>
        <v>September</v>
      </c>
      <c r="T757">
        <f t="shared" si="46"/>
        <v>9</v>
      </c>
      <c r="U757" t="str">
        <f t="shared" si="47"/>
        <v>Tuesday</v>
      </c>
    </row>
    <row r="758" spans="1:21" x14ac:dyDescent="0.2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4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  <c r="R758" s="6">
        <f t="shared" si="44"/>
        <v>285.92</v>
      </c>
      <c r="S758" t="str">
        <f t="shared" si="45"/>
        <v>February</v>
      </c>
      <c r="T758">
        <f t="shared" si="46"/>
        <v>2</v>
      </c>
      <c r="U758" t="str">
        <f t="shared" si="47"/>
        <v>Sunday</v>
      </c>
    </row>
    <row r="759" spans="1:21" x14ac:dyDescent="0.2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4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  <c r="R759" s="6">
        <f t="shared" si="44"/>
        <v>579.12</v>
      </c>
      <c r="S759" t="str">
        <f t="shared" si="45"/>
        <v>November</v>
      </c>
      <c r="T759">
        <f t="shared" si="46"/>
        <v>11</v>
      </c>
      <c r="U759" t="str">
        <f t="shared" si="47"/>
        <v>Friday</v>
      </c>
    </row>
    <row r="760" spans="1:21" x14ac:dyDescent="0.2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4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  <c r="R760" s="6">
        <f t="shared" si="44"/>
        <v>188.5</v>
      </c>
      <c r="S760" t="str">
        <f t="shared" si="45"/>
        <v>February</v>
      </c>
      <c r="T760">
        <f t="shared" si="46"/>
        <v>2</v>
      </c>
      <c r="U760" t="str">
        <f t="shared" si="47"/>
        <v>Wednesday</v>
      </c>
    </row>
    <row r="761" spans="1:21" x14ac:dyDescent="0.2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4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  <c r="R761" s="6">
        <f t="shared" si="44"/>
        <v>221.56</v>
      </c>
      <c r="S761" t="str">
        <f t="shared" si="45"/>
        <v>March</v>
      </c>
      <c r="T761">
        <f t="shared" si="46"/>
        <v>3</v>
      </c>
      <c r="U761" t="str">
        <f t="shared" si="47"/>
        <v>Monday</v>
      </c>
    </row>
    <row r="762" spans="1:21" x14ac:dyDescent="0.2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4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  <c r="R762" s="6">
        <f t="shared" si="44"/>
        <v>772</v>
      </c>
      <c r="S762" t="str">
        <f t="shared" si="45"/>
        <v>November</v>
      </c>
      <c r="T762">
        <f t="shared" si="46"/>
        <v>11</v>
      </c>
      <c r="U762" t="str">
        <f t="shared" si="47"/>
        <v>Saturday</v>
      </c>
    </row>
    <row r="763" spans="1:21" x14ac:dyDescent="0.2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4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  <c r="R763" s="6">
        <f t="shared" si="44"/>
        <v>721.3</v>
      </c>
      <c r="S763" t="str">
        <f t="shared" si="45"/>
        <v>January</v>
      </c>
      <c r="T763">
        <f t="shared" si="46"/>
        <v>1</v>
      </c>
      <c r="U763" t="str">
        <f t="shared" si="47"/>
        <v>Thursday</v>
      </c>
    </row>
    <row r="764" spans="1:21" x14ac:dyDescent="0.2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4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  <c r="R764" s="6">
        <f t="shared" si="44"/>
        <v>511.04</v>
      </c>
      <c r="S764" t="str">
        <f t="shared" si="45"/>
        <v>January</v>
      </c>
      <c r="T764">
        <f t="shared" si="46"/>
        <v>1</v>
      </c>
      <c r="U764" t="str">
        <f t="shared" si="47"/>
        <v>Sunday</v>
      </c>
    </row>
    <row r="765" spans="1:21" x14ac:dyDescent="0.2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4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  <c r="R765" s="6">
        <f t="shared" si="44"/>
        <v>53.449999999999996</v>
      </c>
      <c r="S765" t="str">
        <f t="shared" si="45"/>
        <v>March</v>
      </c>
      <c r="T765">
        <f t="shared" si="46"/>
        <v>3</v>
      </c>
      <c r="U765" t="str">
        <f t="shared" si="47"/>
        <v>Tuesday</v>
      </c>
    </row>
    <row r="766" spans="1:21" x14ac:dyDescent="0.2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4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  <c r="R766" s="6">
        <f t="shared" si="44"/>
        <v>222</v>
      </c>
      <c r="S766" t="str">
        <f t="shared" si="45"/>
        <v>January</v>
      </c>
      <c r="T766">
        <f t="shared" si="46"/>
        <v>1</v>
      </c>
      <c r="U766" t="str">
        <f t="shared" si="47"/>
        <v>Sunday</v>
      </c>
    </row>
    <row r="767" spans="1:21" x14ac:dyDescent="0.2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4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  <c r="R767" s="6">
        <f t="shared" si="44"/>
        <v>763.68</v>
      </c>
      <c r="S767" t="str">
        <f t="shared" si="45"/>
        <v>May</v>
      </c>
      <c r="T767">
        <f t="shared" si="46"/>
        <v>5</v>
      </c>
      <c r="U767" t="str">
        <f t="shared" si="47"/>
        <v>Friday</v>
      </c>
    </row>
    <row r="768" spans="1:21" x14ac:dyDescent="0.2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4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  <c r="R768" s="6">
        <f t="shared" si="44"/>
        <v>228.18</v>
      </c>
      <c r="S768" t="str">
        <f t="shared" si="45"/>
        <v>May</v>
      </c>
      <c r="T768">
        <f t="shared" si="46"/>
        <v>5</v>
      </c>
      <c r="U768" t="str">
        <f t="shared" si="47"/>
        <v>Wednesday</v>
      </c>
    </row>
    <row r="769" spans="1:21" x14ac:dyDescent="0.2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4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  <c r="R769" s="6">
        <f t="shared" si="44"/>
        <v>82.14</v>
      </c>
      <c r="S769" t="str">
        <f t="shared" si="45"/>
        <v>February</v>
      </c>
      <c r="T769">
        <f t="shared" si="46"/>
        <v>2</v>
      </c>
      <c r="U769" t="str">
        <f t="shared" si="47"/>
        <v>Wednesday</v>
      </c>
    </row>
    <row r="770" spans="1:21" x14ac:dyDescent="0.2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4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  <c r="R770" s="6">
        <f t="shared" si="44"/>
        <v>382.56</v>
      </c>
      <c r="S770" t="str">
        <f t="shared" si="45"/>
        <v>March</v>
      </c>
      <c r="T770">
        <f t="shared" si="46"/>
        <v>3</v>
      </c>
      <c r="U770" t="str">
        <f t="shared" si="47"/>
        <v>Saturday</v>
      </c>
    </row>
    <row r="771" spans="1:21" x14ac:dyDescent="0.2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4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  <c r="R771" s="6">
        <f t="shared" ref="R771:R834" si="48">H771*G771</f>
        <v>68.58</v>
      </c>
      <c r="S771" t="str">
        <f t="shared" ref="S771:S834" si="49">TEXT(K771,"mmmm")</f>
        <v>January</v>
      </c>
      <c r="T771">
        <f t="shared" ref="T771:T834" si="50">MONTH(K771)</f>
        <v>1</v>
      </c>
      <c r="U771" t="str">
        <f t="shared" ref="U771:U834" si="51">TEXT(K771,"dddd")</f>
        <v>Tuesday</v>
      </c>
    </row>
    <row r="772" spans="1:21" x14ac:dyDescent="0.2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4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  <c r="R772" s="6">
        <f t="shared" si="48"/>
        <v>382.16</v>
      </c>
      <c r="S772" t="str">
        <f t="shared" si="49"/>
        <v>February</v>
      </c>
      <c r="T772">
        <f t="shared" si="50"/>
        <v>2</v>
      </c>
      <c r="U772" t="str">
        <f t="shared" si="51"/>
        <v>Tuesday</v>
      </c>
    </row>
    <row r="773" spans="1:21" x14ac:dyDescent="0.2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4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  <c r="R773" s="6">
        <f t="shared" si="48"/>
        <v>601.09</v>
      </c>
      <c r="S773" t="str">
        <f t="shared" si="49"/>
        <v>February</v>
      </c>
      <c r="T773">
        <f t="shared" si="50"/>
        <v>2</v>
      </c>
      <c r="U773" t="str">
        <f t="shared" si="51"/>
        <v>Wednesday</v>
      </c>
    </row>
    <row r="774" spans="1:21" x14ac:dyDescent="0.2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4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  <c r="R774" s="6">
        <f t="shared" si="48"/>
        <v>475.92999999999995</v>
      </c>
      <c r="S774" t="str">
        <f t="shared" si="49"/>
        <v>February</v>
      </c>
      <c r="T774">
        <f t="shared" si="50"/>
        <v>2</v>
      </c>
      <c r="U774" t="str">
        <f t="shared" si="51"/>
        <v>Sunday</v>
      </c>
    </row>
    <row r="775" spans="1:21" x14ac:dyDescent="0.2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4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  <c r="R775" s="6">
        <f t="shared" si="48"/>
        <v>52.42</v>
      </c>
      <c r="S775" t="str">
        <f t="shared" si="49"/>
        <v>June</v>
      </c>
      <c r="T775">
        <f t="shared" si="50"/>
        <v>6</v>
      </c>
      <c r="U775" t="str">
        <f t="shared" si="51"/>
        <v>Sunday</v>
      </c>
    </row>
    <row r="776" spans="1:21" x14ac:dyDescent="0.2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4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  <c r="R776" s="6">
        <f t="shared" si="48"/>
        <v>131.30000000000001</v>
      </c>
      <c r="S776" t="str">
        <f t="shared" si="49"/>
        <v>January</v>
      </c>
      <c r="T776">
        <f t="shared" si="50"/>
        <v>1</v>
      </c>
      <c r="U776" t="str">
        <f t="shared" si="51"/>
        <v>Thursday</v>
      </c>
    </row>
    <row r="777" spans="1:21" x14ac:dyDescent="0.2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4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  <c r="R777" s="6">
        <f t="shared" si="48"/>
        <v>144.30000000000001</v>
      </c>
      <c r="S777" t="str">
        <f t="shared" si="49"/>
        <v>January</v>
      </c>
      <c r="T777">
        <f t="shared" si="50"/>
        <v>1</v>
      </c>
      <c r="U777" t="str">
        <f t="shared" si="51"/>
        <v>Tuesday</v>
      </c>
    </row>
    <row r="778" spans="1:21" x14ac:dyDescent="0.2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4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  <c r="R778" s="6">
        <f t="shared" si="48"/>
        <v>457.17</v>
      </c>
      <c r="S778" t="str">
        <f t="shared" si="49"/>
        <v>May</v>
      </c>
      <c r="T778">
        <f t="shared" si="50"/>
        <v>5</v>
      </c>
      <c r="U778" t="str">
        <f t="shared" si="51"/>
        <v>Friday</v>
      </c>
    </row>
    <row r="779" spans="1:21" x14ac:dyDescent="0.2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4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  <c r="R779" s="6">
        <f t="shared" si="48"/>
        <v>93.38</v>
      </c>
      <c r="S779" t="str">
        <f t="shared" si="49"/>
        <v>March</v>
      </c>
      <c r="T779">
        <f t="shared" si="50"/>
        <v>3</v>
      </c>
      <c r="U779" t="str">
        <f t="shared" si="51"/>
        <v>Friday</v>
      </c>
    </row>
    <row r="780" spans="1:21" x14ac:dyDescent="0.2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4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  <c r="R780" s="6">
        <f t="shared" si="48"/>
        <v>126.25</v>
      </c>
      <c r="S780" t="str">
        <f t="shared" si="49"/>
        <v>March</v>
      </c>
      <c r="T780">
        <f t="shared" si="50"/>
        <v>3</v>
      </c>
      <c r="U780" t="str">
        <f t="shared" si="51"/>
        <v>Wednesday</v>
      </c>
    </row>
    <row r="781" spans="1:21" x14ac:dyDescent="0.2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4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  <c r="R781" s="6">
        <f t="shared" si="48"/>
        <v>790.83</v>
      </c>
      <c r="S781" t="str">
        <f t="shared" si="49"/>
        <v>January</v>
      </c>
      <c r="T781">
        <f t="shared" si="50"/>
        <v>1</v>
      </c>
      <c r="U781" t="str">
        <f t="shared" si="51"/>
        <v>Thursday</v>
      </c>
    </row>
    <row r="782" spans="1:21" x14ac:dyDescent="0.2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4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  <c r="R782" s="6">
        <f t="shared" si="48"/>
        <v>174.4</v>
      </c>
      <c r="S782" t="str">
        <f t="shared" si="49"/>
        <v>February</v>
      </c>
      <c r="T782">
        <f t="shared" si="50"/>
        <v>2</v>
      </c>
      <c r="U782" t="str">
        <f t="shared" si="51"/>
        <v>Tuesday</v>
      </c>
    </row>
    <row r="783" spans="1:21" x14ac:dyDescent="0.2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4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  <c r="R783" s="6">
        <f t="shared" si="48"/>
        <v>379.04</v>
      </c>
      <c r="S783" t="str">
        <f t="shared" si="49"/>
        <v>November</v>
      </c>
      <c r="T783">
        <f t="shared" si="50"/>
        <v>11</v>
      </c>
      <c r="U783" t="str">
        <f t="shared" si="51"/>
        <v>Saturday</v>
      </c>
    </row>
    <row r="784" spans="1:21" x14ac:dyDescent="0.2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4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  <c r="R784" s="6">
        <f t="shared" si="48"/>
        <v>30.62</v>
      </c>
      <c r="S784" t="str">
        <f t="shared" si="49"/>
        <v>May</v>
      </c>
      <c r="T784">
        <f t="shared" si="50"/>
        <v>5</v>
      </c>
      <c r="U784" t="str">
        <f t="shared" si="51"/>
        <v>Thursday</v>
      </c>
    </row>
    <row r="785" spans="1:21" x14ac:dyDescent="0.2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4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  <c r="R785" s="6">
        <f t="shared" si="48"/>
        <v>352.08</v>
      </c>
      <c r="S785" t="str">
        <f t="shared" si="49"/>
        <v>March</v>
      </c>
      <c r="T785">
        <f t="shared" si="50"/>
        <v>3</v>
      </c>
      <c r="U785" t="str">
        <f t="shared" si="51"/>
        <v>Sunday</v>
      </c>
    </row>
    <row r="786" spans="1:21" x14ac:dyDescent="0.2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4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  <c r="R786" s="6">
        <f t="shared" si="48"/>
        <v>50.8</v>
      </c>
      <c r="S786" t="str">
        <f t="shared" si="49"/>
        <v>February</v>
      </c>
      <c r="T786">
        <f t="shared" si="50"/>
        <v>2</v>
      </c>
      <c r="U786" t="str">
        <f t="shared" si="51"/>
        <v>Sunday</v>
      </c>
    </row>
    <row r="787" spans="1:21" x14ac:dyDescent="0.2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4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  <c r="R787" s="6">
        <f t="shared" si="48"/>
        <v>522.05999999999995</v>
      </c>
      <c r="S787" t="str">
        <f t="shared" si="49"/>
        <v>April</v>
      </c>
      <c r="T787">
        <f t="shared" si="50"/>
        <v>4</v>
      </c>
      <c r="U787" t="str">
        <f t="shared" si="51"/>
        <v>Tuesday</v>
      </c>
    </row>
    <row r="788" spans="1:21" x14ac:dyDescent="0.2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4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  <c r="R788" s="6">
        <f t="shared" si="48"/>
        <v>575.12</v>
      </c>
      <c r="S788" t="str">
        <f t="shared" si="49"/>
        <v>February</v>
      </c>
      <c r="T788">
        <f t="shared" si="50"/>
        <v>2</v>
      </c>
      <c r="U788" t="str">
        <f t="shared" si="51"/>
        <v>Tuesday</v>
      </c>
    </row>
    <row r="789" spans="1:21" x14ac:dyDescent="0.2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4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  <c r="R789" s="6">
        <f t="shared" si="48"/>
        <v>54.95</v>
      </c>
      <c r="S789" t="str">
        <f t="shared" si="49"/>
        <v>January</v>
      </c>
      <c r="T789">
        <f t="shared" si="50"/>
        <v>1</v>
      </c>
      <c r="U789" t="str">
        <f t="shared" si="51"/>
        <v>Wednesday</v>
      </c>
    </row>
    <row r="790" spans="1:21" x14ac:dyDescent="0.2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4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  <c r="R790" s="6">
        <f t="shared" si="48"/>
        <v>181.41</v>
      </c>
      <c r="S790" t="str">
        <f t="shared" si="49"/>
        <v>January</v>
      </c>
      <c r="T790">
        <f t="shared" si="50"/>
        <v>1</v>
      </c>
      <c r="U790" t="str">
        <f t="shared" si="51"/>
        <v>Monday</v>
      </c>
    </row>
    <row r="791" spans="1:21" x14ac:dyDescent="0.2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4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  <c r="R791" s="6">
        <f t="shared" si="48"/>
        <v>412.37</v>
      </c>
      <c r="S791" t="str">
        <f t="shared" si="49"/>
        <v>January</v>
      </c>
      <c r="T791">
        <f t="shared" si="50"/>
        <v>1</v>
      </c>
      <c r="U791" t="str">
        <f t="shared" si="51"/>
        <v>Thursday</v>
      </c>
    </row>
    <row r="792" spans="1:21" x14ac:dyDescent="0.2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4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  <c r="R792" s="6">
        <f t="shared" si="48"/>
        <v>46.41</v>
      </c>
      <c r="S792" t="str">
        <f t="shared" si="49"/>
        <v>March</v>
      </c>
      <c r="T792">
        <f t="shared" si="50"/>
        <v>3</v>
      </c>
      <c r="U792" t="str">
        <f t="shared" si="51"/>
        <v>Sunday</v>
      </c>
    </row>
    <row r="793" spans="1:21" x14ac:dyDescent="0.2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4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  <c r="R793" s="6">
        <f t="shared" si="48"/>
        <v>274.2</v>
      </c>
      <c r="S793" t="str">
        <f t="shared" si="49"/>
        <v>February</v>
      </c>
      <c r="T793">
        <f t="shared" si="50"/>
        <v>2</v>
      </c>
      <c r="U793" t="str">
        <f t="shared" si="51"/>
        <v>Friday</v>
      </c>
    </row>
    <row r="794" spans="1:21" x14ac:dyDescent="0.2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4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  <c r="R794" s="6">
        <f t="shared" si="48"/>
        <v>973.7</v>
      </c>
      <c r="S794" t="str">
        <f t="shared" si="49"/>
        <v>January</v>
      </c>
      <c r="T794">
        <f t="shared" si="50"/>
        <v>1</v>
      </c>
      <c r="U794" t="str">
        <f t="shared" si="51"/>
        <v>Tuesday</v>
      </c>
    </row>
    <row r="795" spans="1:21" x14ac:dyDescent="0.2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4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  <c r="R795" s="6">
        <f t="shared" si="48"/>
        <v>648.19999999999993</v>
      </c>
      <c r="S795" t="str">
        <f t="shared" si="49"/>
        <v>February</v>
      </c>
      <c r="T795">
        <f t="shared" si="50"/>
        <v>2</v>
      </c>
      <c r="U795" t="str">
        <f t="shared" si="51"/>
        <v>Wednesday</v>
      </c>
    </row>
    <row r="796" spans="1:21" x14ac:dyDescent="0.2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4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  <c r="R796" s="6">
        <f t="shared" si="48"/>
        <v>93.22</v>
      </c>
      <c r="S796" t="str">
        <f t="shared" si="49"/>
        <v>February</v>
      </c>
      <c r="T796">
        <f t="shared" si="50"/>
        <v>2</v>
      </c>
      <c r="U796" t="str">
        <f t="shared" si="51"/>
        <v>Tuesday</v>
      </c>
    </row>
    <row r="797" spans="1:21" x14ac:dyDescent="0.2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4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  <c r="R797" s="6">
        <f t="shared" si="48"/>
        <v>54.36</v>
      </c>
      <c r="S797" t="str">
        <f t="shared" si="49"/>
        <v>March</v>
      </c>
      <c r="T797">
        <f t="shared" si="50"/>
        <v>3</v>
      </c>
      <c r="U797" t="str">
        <f t="shared" si="51"/>
        <v>Friday</v>
      </c>
    </row>
    <row r="798" spans="1:21" x14ac:dyDescent="0.2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4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  <c r="R798" s="6">
        <f t="shared" si="48"/>
        <v>60.87</v>
      </c>
      <c r="S798" t="str">
        <f t="shared" si="49"/>
        <v>January</v>
      </c>
      <c r="T798">
        <f t="shared" si="50"/>
        <v>1</v>
      </c>
      <c r="U798" t="str">
        <f t="shared" si="51"/>
        <v>Thursday</v>
      </c>
    </row>
    <row r="799" spans="1:21" x14ac:dyDescent="0.2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4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  <c r="R799" s="6">
        <f t="shared" si="48"/>
        <v>244.89999999999998</v>
      </c>
      <c r="S799" t="str">
        <f t="shared" si="49"/>
        <v>February</v>
      </c>
      <c r="T799">
        <f t="shared" si="50"/>
        <v>2</v>
      </c>
      <c r="U799" t="str">
        <f t="shared" si="51"/>
        <v>Friday</v>
      </c>
    </row>
    <row r="800" spans="1:21" x14ac:dyDescent="0.2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4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  <c r="R800" s="6">
        <f t="shared" si="48"/>
        <v>92.78</v>
      </c>
      <c r="S800" t="str">
        <f t="shared" si="49"/>
        <v>March</v>
      </c>
      <c r="T800">
        <f t="shared" si="50"/>
        <v>3</v>
      </c>
      <c r="U800" t="str">
        <f t="shared" si="51"/>
        <v>Friday</v>
      </c>
    </row>
    <row r="801" spans="1:21" x14ac:dyDescent="0.2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4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  <c r="R801" s="6">
        <f t="shared" si="48"/>
        <v>433.45</v>
      </c>
      <c r="S801" t="str">
        <f t="shared" si="49"/>
        <v>November</v>
      </c>
      <c r="T801">
        <f t="shared" si="50"/>
        <v>11</v>
      </c>
      <c r="U801" t="str">
        <f t="shared" si="51"/>
        <v>Saturday</v>
      </c>
    </row>
    <row r="802" spans="1:21" x14ac:dyDescent="0.2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4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  <c r="R802" s="6">
        <f t="shared" si="48"/>
        <v>138.06</v>
      </c>
      <c r="S802" t="str">
        <f t="shared" si="49"/>
        <v>December</v>
      </c>
      <c r="T802">
        <f t="shared" si="50"/>
        <v>12</v>
      </c>
      <c r="U802" t="str">
        <f t="shared" si="51"/>
        <v>Sunday</v>
      </c>
    </row>
    <row r="803" spans="1:21" x14ac:dyDescent="0.2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4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  <c r="R803" s="6">
        <f t="shared" si="48"/>
        <v>241.6</v>
      </c>
      <c r="S803" t="str">
        <f t="shared" si="49"/>
        <v>March</v>
      </c>
      <c r="T803">
        <f t="shared" si="50"/>
        <v>3</v>
      </c>
      <c r="U803" t="str">
        <f t="shared" si="51"/>
        <v>Sunday</v>
      </c>
    </row>
    <row r="804" spans="1:21" x14ac:dyDescent="0.2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4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  <c r="R804" s="6">
        <f t="shared" si="48"/>
        <v>471.73</v>
      </c>
      <c r="S804" t="str">
        <f t="shared" si="49"/>
        <v>March</v>
      </c>
      <c r="T804">
        <f t="shared" si="50"/>
        <v>3</v>
      </c>
      <c r="U804" t="str">
        <f t="shared" si="51"/>
        <v>Saturday</v>
      </c>
    </row>
    <row r="805" spans="1:21" x14ac:dyDescent="0.2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4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  <c r="R805" s="6">
        <f t="shared" si="48"/>
        <v>440.64</v>
      </c>
      <c r="S805" t="str">
        <f t="shared" si="49"/>
        <v>April</v>
      </c>
      <c r="T805">
        <f t="shared" si="50"/>
        <v>4</v>
      </c>
      <c r="U805" t="str">
        <f t="shared" si="51"/>
        <v>Wednesday</v>
      </c>
    </row>
    <row r="806" spans="1:21" x14ac:dyDescent="0.2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4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  <c r="R806" s="6">
        <f t="shared" si="48"/>
        <v>680.31000000000006</v>
      </c>
      <c r="S806" t="str">
        <f t="shared" si="49"/>
        <v>February</v>
      </c>
      <c r="T806">
        <f t="shared" si="50"/>
        <v>2</v>
      </c>
      <c r="U806" t="str">
        <f t="shared" si="51"/>
        <v>Saturday</v>
      </c>
    </row>
    <row r="807" spans="1:21" x14ac:dyDescent="0.2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4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  <c r="R807" s="6">
        <f t="shared" si="48"/>
        <v>309.88</v>
      </c>
      <c r="S807" t="str">
        <f t="shared" si="49"/>
        <v>March</v>
      </c>
      <c r="T807">
        <f t="shared" si="50"/>
        <v>3</v>
      </c>
      <c r="U807" t="str">
        <f t="shared" si="51"/>
        <v>Sunday</v>
      </c>
    </row>
    <row r="808" spans="1:21" x14ac:dyDescent="0.2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4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  <c r="R808" s="6">
        <f t="shared" si="48"/>
        <v>186.36</v>
      </c>
      <c r="S808" t="str">
        <f t="shared" si="49"/>
        <v>January</v>
      </c>
      <c r="T808">
        <f t="shared" si="50"/>
        <v>1</v>
      </c>
      <c r="U808" t="str">
        <f t="shared" si="51"/>
        <v>Wednesday</v>
      </c>
    </row>
    <row r="809" spans="1:21" x14ac:dyDescent="0.2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4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  <c r="R809" s="6">
        <f t="shared" si="48"/>
        <v>200.92</v>
      </c>
      <c r="S809" t="str">
        <f t="shared" si="49"/>
        <v>August</v>
      </c>
      <c r="T809">
        <f t="shared" si="50"/>
        <v>8</v>
      </c>
      <c r="U809" t="str">
        <f t="shared" si="51"/>
        <v>Thursday</v>
      </c>
    </row>
    <row r="810" spans="1:21" x14ac:dyDescent="0.2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4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  <c r="R810" s="6">
        <f t="shared" si="48"/>
        <v>17.75</v>
      </c>
      <c r="S810" t="str">
        <f t="shared" si="49"/>
        <v>January</v>
      </c>
      <c r="T810">
        <f t="shared" si="50"/>
        <v>1</v>
      </c>
      <c r="U810" t="str">
        <f t="shared" si="51"/>
        <v>Monday</v>
      </c>
    </row>
    <row r="811" spans="1:21" x14ac:dyDescent="0.2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4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  <c r="R811" s="6">
        <f t="shared" si="48"/>
        <v>621.79999999999995</v>
      </c>
      <c r="S811" t="str">
        <f t="shared" si="49"/>
        <v>January</v>
      </c>
      <c r="T811">
        <f t="shared" si="50"/>
        <v>1</v>
      </c>
      <c r="U811" t="str">
        <f t="shared" si="51"/>
        <v>Thursday</v>
      </c>
    </row>
    <row r="812" spans="1:21" x14ac:dyDescent="0.2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4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  <c r="R812" s="6">
        <f t="shared" si="48"/>
        <v>86</v>
      </c>
      <c r="S812" t="str">
        <f t="shared" si="49"/>
        <v>March</v>
      </c>
      <c r="T812">
        <f t="shared" si="50"/>
        <v>3</v>
      </c>
      <c r="U812" t="str">
        <f t="shared" si="51"/>
        <v>Friday</v>
      </c>
    </row>
    <row r="813" spans="1:21" x14ac:dyDescent="0.2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4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  <c r="R813" s="6">
        <f t="shared" si="48"/>
        <v>402.59999999999997</v>
      </c>
      <c r="S813" t="str">
        <f t="shared" si="49"/>
        <v>February</v>
      </c>
      <c r="T813">
        <f t="shared" si="50"/>
        <v>2</v>
      </c>
      <c r="U813" t="str">
        <f t="shared" si="51"/>
        <v>Sunday</v>
      </c>
    </row>
    <row r="814" spans="1:21" x14ac:dyDescent="0.2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4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  <c r="R814" s="6">
        <f t="shared" si="48"/>
        <v>324.85000000000002</v>
      </c>
      <c r="S814" t="str">
        <f t="shared" si="49"/>
        <v>August</v>
      </c>
      <c r="T814">
        <f t="shared" si="50"/>
        <v>8</v>
      </c>
      <c r="U814" t="str">
        <f t="shared" si="51"/>
        <v>Friday</v>
      </c>
    </row>
    <row r="815" spans="1:21" x14ac:dyDescent="0.2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4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  <c r="R815" s="6">
        <f t="shared" si="48"/>
        <v>95.15</v>
      </c>
      <c r="S815" t="str">
        <f t="shared" si="49"/>
        <v>March</v>
      </c>
      <c r="T815">
        <f t="shared" si="50"/>
        <v>3</v>
      </c>
      <c r="U815" t="str">
        <f t="shared" si="51"/>
        <v>Friday</v>
      </c>
    </row>
    <row r="816" spans="1:21" x14ac:dyDescent="0.2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4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  <c r="R816" s="6">
        <f t="shared" si="48"/>
        <v>388.96</v>
      </c>
      <c r="S816" t="str">
        <f t="shared" si="49"/>
        <v>January</v>
      </c>
      <c r="T816">
        <f t="shared" si="50"/>
        <v>1</v>
      </c>
      <c r="U816" t="str">
        <f t="shared" si="51"/>
        <v>Thursday</v>
      </c>
    </row>
    <row r="817" spans="1:21" x14ac:dyDescent="0.2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4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  <c r="R817" s="6">
        <f t="shared" si="48"/>
        <v>425.68</v>
      </c>
      <c r="S817" t="str">
        <f t="shared" si="49"/>
        <v>March</v>
      </c>
      <c r="T817">
        <f t="shared" si="50"/>
        <v>3</v>
      </c>
      <c r="U817" t="str">
        <f t="shared" si="51"/>
        <v>Thursday</v>
      </c>
    </row>
    <row r="818" spans="1:21" x14ac:dyDescent="0.2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4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  <c r="R818" s="6">
        <f t="shared" si="48"/>
        <v>318.08</v>
      </c>
      <c r="S818" t="str">
        <f t="shared" si="49"/>
        <v>January</v>
      </c>
      <c r="T818">
        <f t="shared" si="50"/>
        <v>1</v>
      </c>
      <c r="U818" t="str">
        <f t="shared" si="51"/>
        <v>Wednesday</v>
      </c>
    </row>
    <row r="819" spans="1:21" x14ac:dyDescent="0.2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4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  <c r="R819" s="6">
        <f t="shared" si="48"/>
        <v>271.04000000000002</v>
      </c>
      <c r="S819" t="str">
        <f t="shared" si="49"/>
        <v>January</v>
      </c>
      <c r="T819">
        <f t="shared" si="50"/>
        <v>1</v>
      </c>
      <c r="U819" t="str">
        <f t="shared" si="51"/>
        <v>Saturday</v>
      </c>
    </row>
    <row r="820" spans="1:21" x14ac:dyDescent="0.2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4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  <c r="R820" s="6">
        <f t="shared" si="48"/>
        <v>384.64</v>
      </c>
      <c r="S820" t="str">
        <f t="shared" si="49"/>
        <v>January</v>
      </c>
      <c r="T820">
        <f t="shared" si="50"/>
        <v>1</v>
      </c>
      <c r="U820" t="str">
        <f t="shared" si="51"/>
        <v>Sunday</v>
      </c>
    </row>
    <row r="821" spans="1:21" x14ac:dyDescent="0.2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4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  <c r="R821" s="6">
        <f t="shared" si="48"/>
        <v>235.79999999999998</v>
      </c>
      <c r="S821" t="str">
        <f t="shared" si="49"/>
        <v>March</v>
      </c>
      <c r="T821">
        <f t="shared" si="50"/>
        <v>3</v>
      </c>
      <c r="U821" t="str">
        <f t="shared" si="51"/>
        <v>Saturday</v>
      </c>
    </row>
    <row r="822" spans="1:21" x14ac:dyDescent="0.2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4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  <c r="R822" s="6">
        <f t="shared" si="48"/>
        <v>211.56</v>
      </c>
      <c r="S822" t="str">
        <f t="shared" si="49"/>
        <v>March</v>
      </c>
      <c r="T822">
        <f t="shared" si="50"/>
        <v>3</v>
      </c>
      <c r="U822" t="str">
        <f t="shared" si="51"/>
        <v>Monday</v>
      </c>
    </row>
    <row r="823" spans="1:21" x14ac:dyDescent="0.2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4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  <c r="R823" s="6">
        <f t="shared" si="48"/>
        <v>95.36</v>
      </c>
      <c r="S823" t="str">
        <f t="shared" si="49"/>
        <v>February</v>
      </c>
      <c r="T823">
        <f t="shared" si="50"/>
        <v>2</v>
      </c>
      <c r="U823" t="str">
        <f t="shared" si="51"/>
        <v>Sunday</v>
      </c>
    </row>
    <row r="824" spans="1:21" x14ac:dyDescent="0.2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4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  <c r="R824" s="6">
        <f t="shared" si="48"/>
        <v>10.17</v>
      </c>
      <c r="S824" t="str">
        <f t="shared" si="49"/>
        <v>July</v>
      </c>
      <c r="T824">
        <f t="shared" si="50"/>
        <v>7</v>
      </c>
      <c r="U824" t="str">
        <f t="shared" si="51"/>
        <v>Tuesday</v>
      </c>
    </row>
    <row r="825" spans="1:21" x14ac:dyDescent="0.2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4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  <c r="R825" s="6">
        <f t="shared" si="48"/>
        <v>206.13</v>
      </c>
      <c r="S825" t="str">
        <f t="shared" si="49"/>
        <v>April</v>
      </c>
      <c r="T825">
        <f t="shared" si="50"/>
        <v>4</v>
      </c>
      <c r="U825" t="str">
        <f t="shared" si="51"/>
        <v>Wednesday</v>
      </c>
    </row>
    <row r="826" spans="1:21" x14ac:dyDescent="0.2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4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  <c r="R826" s="6">
        <f t="shared" si="48"/>
        <v>420.56</v>
      </c>
      <c r="S826" t="str">
        <f t="shared" si="49"/>
        <v>February</v>
      </c>
      <c r="T826">
        <f t="shared" si="50"/>
        <v>2</v>
      </c>
      <c r="U826" t="str">
        <f t="shared" si="51"/>
        <v>Thursday</v>
      </c>
    </row>
    <row r="827" spans="1:21" x14ac:dyDescent="0.2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4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  <c r="R827" s="6">
        <f t="shared" si="48"/>
        <v>88.04</v>
      </c>
      <c r="S827" t="str">
        <f t="shared" si="49"/>
        <v>January</v>
      </c>
      <c r="T827">
        <f t="shared" si="50"/>
        <v>1</v>
      </c>
      <c r="U827" t="str">
        <f t="shared" si="51"/>
        <v>Tuesday</v>
      </c>
    </row>
    <row r="828" spans="1:21" x14ac:dyDescent="0.2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4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  <c r="R828" s="6">
        <f t="shared" si="48"/>
        <v>648.99</v>
      </c>
      <c r="S828" t="str">
        <f t="shared" si="49"/>
        <v>January</v>
      </c>
      <c r="T828">
        <f t="shared" si="50"/>
        <v>1</v>
      </c>
      <c r="U828" t="str">
        <f t="shared" si="51"/>
        <v>Monday</v>
      </c>
    </row>
    <row r="829" spans="1:21" x14ac:dyDescent="0.2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4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  <c r="R829" s="6">
        <f t="shared" si="48"/>
        <v>123.84</v>
      </c>
      <c r="S829" t="str">
        <f t="shared" si="49"/>
        <v>March</v>
      </c>
      <c r="T829">
        <f t="shared" si="50"/>
        <v>3</v>
      </c>
      <c r="U829" t="str">
        <f t="shared" si="51"/>
        <v>Tuesday</v>
      </c>
    </row>
    <row r="830" spans="1:21" x14ac:dyDescent="0.2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4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  <c r="R830" s="6">
        <f t="shared" si="48"/>
        <v>649.5</v>
      </c>
      <c r="S830" t="str">
        <f t="shared" si="49"/>
        <v>March</v>
      </c>
      <c r="T830">
        <f t="shared" si="50"/>
        <v>3</v>
      </c>
      <c r="U830" t="str">
        <f t="shared" si="51"/>
        <v>Sunday</v>
      </c>
    </row>
    <row r="831" spans="1:21" x14ac:dyDescent="0.2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4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  <c r="R831" s="6">
        <f t="shared" si="48"/>
        <v>742.2</v>
      </c>
      <c r="S831" t="str">
        <f t="shared" si="49"/>
        <v>January</v>
      </c>
      <c r="T831">
        <f t="shared" si="50"/>
        <v>1</v>
      </c>
      <c r="U831" t="str">
        <f t="shared" si="51"/>
        <v>Tuesday</v>
      </c>
    </row>
    <row r="832" spans="1:21" x14ac:dyDescent="0.2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4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  <c r="R832" s="6">
        <f t="shared" si="48"/>
        <v>84.48</v>
      </c>
      <c r="S832" t="str">
        <f t="shared" si="49"/>
        <v>January</v>
      </c>
      <c r="T832">
        <f t="shared" si="50"/>
        <v>1</v>
      </c>
      <c r="U832" t="str">
        <f t="shared" si="51"/>
        <v>Thursday</v>
      </c>
    </row>
    <row r="833" spans="1:21" x14ac:dyDescent="0.2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4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  <c r="R833" s="6">
        <f t="shared" si="48"/>
        <v>250.28</v>
      </c>
      <c r="S833" t="str">
        <f t="shared" si="49"/>
        <v>February</v>
      </c>
      <c r="T833">
        <f t="shared" si="50"/>
        <v>2</v>
      </c>
      <c r="U833" t="str">
        <f t="shared" si="51"/>
        <v>Monday</v>
      </c>
    </row>
    <row r="834" spans="1:21" x14ac:dyDescent="0.2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4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  <c r="R834" s="6">
        <f t="shared" si="48"/>
        <v>94.8</v>
      </c>
      <c r="S834" t="str">
        <f t="shared" si="49"/>
        <v>September</v>
      </c>
      <c r="T834">
        <f t="shared" si="50"/>
        <v>9</v>
      </c>
      <c r="U834" t="str">
        <f t="shared" si="51"/>
        <v>Sunday</v>
      </c>
    </row>
    <row r="835" spans="1:21" x14ac:dyDescent="0.2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4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  <c r="R835" s="6">
        <f t="shared" ref="R835:R898" si="52">H835*G835</f>
        <v>91.3</v>
      </c>
      <c r="S835" t="str">
        <f t="shared" ref="S835:S898" si="53">TEXT(K835,"mmmm")</f>
        <v>February</v>
      </c>
      <c r="T835">
        <f t="shared" ref="T835:T898" si="54">MONTH(K835)</f>
        <v>2</v>
      </c>
      <c r="U835" t="str">
        <f t="shared" ref="U835:U898" si="55">TEXT(K835,"dddd")</f>
        <v>Thursday</v>
      </c>
    </row>
    <row r="836" spans="1:21" x14ac:dyDescent="0.2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4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  <c r="R836" s="6">
        <f t="shared" si="52"/>
        <v>285.10999999999996</v>
      </c>
      <c r="S836" t="str">
        <f t="shared" si="53"/>
        <v>December</v>
      </c>
      <c r="T836">
        <f t="shared" si="54"/>
        <v>12</v>
      </c>
      <c r="U836" t="str">
        <f t="shared" si="55"/>
        <v>Tuesday</v>
      </c>
    </row>
    <row r="837" spans="1:21" x14ac:dyDescent="0.2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4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  <c r="R837" s="6">
        <f t="shared" si="52"/>
        <v>52.38</v>
      </c>
      <c r="S837" t="str">
        <f t="shared" si="53"/>
        <v>March</v>
      </c>
      <c r="T837">
        <f t="shared" si="54"/>
        <v>3</v>
      </c>
      <c r="U837" t="str">
        <f t="shared" si="55"/>
        <v>Tuesday</v>
      </c>
    </row>
    <row r="838" spans="1:21" x14ac:dyDescent="0.2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4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  <c r="R838" s="6">
        <f t="shared" si="52"/>
        <v>192.7</v>
      </c>
      <c r="S838" t="str">
        <f t="shared" si="53"/>
        <v>September</v>
      </c>
      <c r="T838">
        <f t="shared" si="54"/>
        <v>9</v>
      </c>
      <c r="U838" t="str">
        <f t="shared" si="55"/>
        <v>Sunday</v>
      </c>
    </row>
    <row r="839" spans="1:21" x14ac:dyDescent="0.2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4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  <c r="R839" s="6">
        <f t="shared" si="52"/>
        <v>267.78000000000003</v>
      </c>
      <c r="S839" t="str">
        <f t="shared" si="53"/>
        <v>February</v>
      </c>
      <c r="T839">
        <f t="shared" si="54"/>
        <v>2</v>
      </c>
      <c r="U839" t="str">
        <f t="shared" si="55"/>
        <v>Friday</v>
      </c>
    </row>
    <row r="840" spans="1:21" x14ac:dyDescent="0.2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4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  <c r="R840" s="6">
        <f t="shared" si="52"/>
        <v>558.69999999999993</v>
      </c>
      <c r="S840" t="str">
        <f t="shared" si="53"/>
        <v>January</v>
      </c>
      <c r="T840">
        <f t="shared" si="54"/>
        <v>1</v>
      </c>
      <c r="U840" t="str">
        <f t="shared" si="55"/>
        <v>Tuesday</v>
      </c>
    </row>
    <row r="841" spans="1:21" x14ac:dyDescent="0.2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4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  <c r="R841" s="6">
        <f t="shared" si="52"/>
        <v>175.32</v>
      </c>
      <c r="S841" t="str">
        <f t="shared" si="53"/>
        <v>January</v>
      </c>
      <c r="T841">
        <f t="shared" si="54"/>
        <v>1</v>
      </c>
      <c r="U841" t="str">
        <f t="shared" si="55"/>
        <v>Tuesday</v>
      </c>
    </row>
    <row r="842" spans="1:21" x14ac:dyDescent="0.2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4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  <c r="R842" s="6">
        <f t="shared" si="52"/>
        <v>155.82</v>
      </c>
      <c r="S842" t="str">
        <f t="shared" si="53"/>
        <v>February</v>
      </c>
      <c r="T842">
        <f t="shared" si="54"/>
        <v>2</v>
      </c>
      <c r="U842" t="str">
        <f t="shared" si="55"/>
        <v>Friday</v>
      </c>
    </row>
    <row r="843" spans="1:21" x14ac:dyDescent="0.2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4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  <c r="R843" s="6">
        <f t="shared" si="52"/>
        <v>60.3</v>
      </c>
      <c r="S843" t="str">
        <f t="shared" si="53"/>
        <v>February</v>
      </c>
      <c r="T843">
        <f t="shared" si="54"/>
        <v>2</v>
      </c>
      <c r="U843" t="str">
        <f t="shared" si="55"/>
        <v>Thursday</v>
      </c>
    </row>
    <row r="844" spans="1:21" x14ac:dyDescent="0.2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4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  <c r="R844" s="6">
        <f t="shared" si="52"/>
        <v>78.94</v>
      </c>
      <c r="S844" t="str">
        <f t="shared" si="53"/>
        <v>February</v>
      </c>
      <c r="T844">
        <f t="shared" si="54"/>
        <v>2</v>
      </c>
      <c r="U844" t="str">
        <f t="shared" si="55"/>
        <v>Sunday</v>
      </c>
    </row>
    <row r="845" spans="1:21" x14ac:dyDescent="0.2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4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  <c r="R845" s="6">
        <f t="shared" si="52"/>
        <v>29.74</v>
      </c>
      <c r="S845" t="str">
        <f t="shared" si="53"/>
        <v>February</v>
      </c>
      <c r="T845">
        <f t="shared" si="54"/>
        <v>2</v>
      </c>
      <c r="U845" t="str">
        <f t="shared" si="55"/>
        <v>Wednesday</v>
      </c>
    </row>
    <row r="846" spans="1:21" x14ac:dyDescent="0.2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4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  <c r="R846" s="6">
        <f t="shared" si="52"/>
        <v>21.32</v>
      </c>
      <c r="S846" t="str">
        <f t="shared" si="53"/>
        <v>January</v>
      </c>
      <c r="T846">
        <f t="shared" si="54"/>
        <v>1</v>
      </c>
      <c r="U846" t="str">
        <f t="shared" si="55"/>
        <v>Saturday</v>
      </c>
    </row>
    <row r="847" spans="1:21" x14ac:dyDescent="0.2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4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  <c r="R847" s="6">
        <f t="shared" si="52"/>
        <v>281.34000000000003</v>
      </c>
      <c r="S847" t="str">
        <f t="shared" si="53"/>
        <v>January</v>
      </c>
      <c r="T847">
        <f t="shared" si="54"/>
        <v>1</v>
      </c>
      <c r="U847" t="str">
        <f t="shared" si="55"/>
        <v>Wednesday</v>
      </c>
    </row>
    <row r="848" spans="1:21" x14ac:dyDescent="0.2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4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  <c r="R848" s="6">
        <f t="shared" si="52"/>
        <v>73.260000000000005</v>
      </c>
      <c r="S848" t="str">
        <f t="shared" si="53"/>
        <v>January</v>
      </c>
      <c r="T848">
        <f t="shared" si="54"/>
        <v>1</v>
      </c>
      <c r="U848" t="str">
        <f t="shared" si="55"/>
        <v>Sunday</v>
      </c>
    </row>
    <row r="849" spans="1:21" x14ac:dyDescent="0.2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4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  <c r="R849" s="6">
        <f t="shared" si="52"/>
        <v>22.38</v>
      </c>
      <c r="S849" t="str">
        <f t="shared" si="53"/>
        <v>January</v>
      </c>
      <c r="T849">
        <f t="shared" si="54"/>
        <v>1</v>
      </c>
      <c r="U849" t="str">
        <f t="shared" si="55"/>
        <v>Wednesday</v>
      </c>
    </row>
    <row r="850" spans="1:21" x14ac:dyDescent="0.2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4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  <c r="R850" s="6">
        <f t="shared" si="52"/>
        <v>655.92</v>
      </c>
      <c r="S850" t="str">
        <f t="shared" si="53"/>
        <v>August</v>
      </c>
      <c r="T850">
        <f t="shared" si="54"/>
        <v>8</v>
      </c>
      <c r="U850" t="str">
        <f t="shared" si="55"/>
        <v>Thursday</v>
      </c>
    </row>
    <row r="851" spans="1:21" x14ac:dyDescent="0.2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4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  <c r="R851" s="6">
        <f t="shared" si="52"/>
        <v>594.59999999999991</v>
      </c>
      <c r="S851" t="str">
        <f t="shared" si="53"/>
        <v>January</v>
      </c>
      <c r="T851">
        <f t="shared" si="54"/>
        <v>1</v>
      </c>
      <c r="U851" t="str">
        <f t="shared" si="55"/>
        <v>Saturday</v>
      </c>
    </row>
    <row r="852" spans="1:21" x14ac:dyDescent="0.2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4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  <c r="R852" s="6">
        <f t="shared" si="52"/>
        <v>74.099999999999994</v>
      </c>
      <c r="S852" t="str">
        <f t="shared" si="53"/>
        <v>January</v>
      </c>
      <c r="T852">
        <f t="shared" si="54"/>
        <v>1</v>
      </c>
      <c r="U852" t="str">
        <f t="shared" si="55"/>
        <v>Friday</v>
      </c>
    </row>
    <row r="853" spans="1:21" x14ac:dyDescent="0.2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4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  <c r="R853" s="6">
        <f t="shared" si="52"/>
        <v>196.96</v>
      </c>
      <c r="S853" t="str">
        <f t="shared" si="53"/>
        <v>February</v>
      </c>
      <c r="T853">
        <f t="shared" si="54"/>
        <v>2</v>
      </c>
      <c r="U853" t="str">
        <f t="shared" si="55"/>
        <v>Tuesday</v>
      </c>
    </row>
    <row r="854" spans="1:21" x14ac:dyDescent="0.2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4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  <c r="R854" s="6">
        <f t="shared" si="52"/>
        <v>372.33</v>
      </c>
      <c r="S854" t="str">
        <f t="shared" si="53"/>
        <v>January</v>
      </c>
      <c r="T854">
        <f t="shared" si="54"/>
        <v>1</v>
      </c>
      <c r="U854" t="str">
        <f t="shared" si="55"/>
        <v>Monday</v>
      </c>
    </row>
    <row r="855" spans="1:21" x14ac:dyDescent="0.2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4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  <c r="R855" s="6">
        <f t="shared" si="52"/>
        <v>527.9</v>
      </c>
      <c r="S855" t="str">
        <f t="shared" si="53"/>
        <v>February</v>
      </c>
      <c r="T855">
        <f t="shared" si="54"/>
        <v>2</v>
      </c>
      <c r="U855" t="str">
        <f t="shared" si="55"/>
        <v>Monday</v>
      </c>
    </row>
    <row r="856" spans="1:21" x14ac:dyDescent="0.2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4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  <c r="R856" s="6">
        <f t="shared" si="52"/>
        <v>479.75</v>
      </c>
      <c r="S856" t="str">
        <f t="shared" si="53"/>
        <v>January</v>
      </c>
      <c r="T856">
        <f t="shared" si="54"/>
        <v>1</v>
      </c>
      <c r="U856" t="str">
        <f t="shared" si="55"/>
        <v>Wednesday</v>
      </c>
    </row>
    <row r="857" spans="1:21" x14ac:dyDescent="0.2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4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  <c r="R857" s="6">
        <f t="shared" si="52"/>
        <v>328.59</v>
      </c>
      <c r="S857" t="str">
        <f t="shared" si="53"/>
        <v>February</v>
      </c>
      <c r="T857">
        <f t="shared" si="54"/>
        <v>2</v>
      </c>
      <c r="U857" t="str">
        <f t="shared" si="55"/>
        <v>Saturday</v>
      </c>
    </row>
    <row r="858" spans="1:21" x14ac:dyDescent="0.2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4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  <c r="R858" s="6">
        <f t="shared" si="52"/>
        <v>168.96</v>
      </c>
      <c r="S858" t="str">
        <f t="shared" si="53"/>
        <v>January</v>
      </c>
      <c r="T858">
        <f t="shared" si="54"/>
        <v>1</v>
      </c>
      <c r="U858" t="str">
        <f t="shared" si="55"/>
        <v>Tuesday</v>
      </c>
    </row>
    <row r="859" spans="1:21" x14ac:dyDescent="0.2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4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  <c r="R859" s="6">
        <f t="shared" si="52"/>
        <v>113.24</v>
      </c>
      <c r="S859" t="str">
        <f t="shared" si="53"/>
        <v>July</v>
      </c>
      <c r="T859">
        <f t="shared" si="54"/>
        <v>7</v>
      </c>
      <c r="U859" t="str">
        <f t="shared" si="55"/>
        <v>Wednesday</v>
      </c>
    </row>
    <row r="860" spans="1:21" x14ac:dyDescent="0.2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4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  <c r="R860" s="6">
        <f t="shared" si="52"/>
        <v>345.54</v>
      </c>
      <c r="S860" t="str">
        <f t="shared" si="53"/>
        <v>February</v>
      </c>
      <c r="T860">
        <f t="shared" si="54"/>
        <v>2</v>
      </c>
      <c r="U860" t="str">
        <f t="shared" si="55"/>
        <v>Friday</v>
      </c>
    </row>
    <row r="861" spans="1:21" x14ac:dyDescent="0.2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4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  <c r="R861" s="6">
        <f t="shared" si="52"/>
        <v>428.67</v>
      </c>
      <c r="S861" t="str">
        <f t="shared" si="53"/>
        <v>January</v>
      </c>
      <c r="T861">
        <f t="shared" si="54"/>
        <v>1</v>
      </c>
      <c r="U861" t="str">
        <f t="shared" si="55"/>
        <v>Wednesday</v>
      </c>
    </row>
    <row r="862" spans="1:21" x14ac:dyDescent="0.2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4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  <c r="R862" s="6">
        <f t="shared" si="52"/>
        <v>86.27</v>
      </c>
      <c r="S862" t="str">
        <f t="shared" si="53"/>
        <v>February</v>
      </c>
      <c r="T862">
        <f t="shared" si="54"/>
        <v>2</v>
      </c>
      <c r="U862" t="str">
        <f t="shared" si="55"/>
        <v>Wednesday</v>
      </c>
    </row>
    <row r="863" spans="1:21" x14ac:dyDescent="0.2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4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  <c r="R863" s="6">
        <f t="shared" si="52"/>
        <v>25.52</v>
      </c>
      <c r="S863" t="str">
        <f t="shared" si="53"/>
        <v>August</v>
      </c>
      <c r="T863">
        <f t="shared" si="54"/>
        <v>8</v>
      </c>
      <c r="U863" t="str">
        <f t="shared" si="55"/>
        <v>Thursday</v>
      </c>
    </row>
    <row r="864" spans="1:21" x14ac:dyDescent="0.2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4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  <c r="R864" s="6">
        <f t="shared" si="52"/>
        <v>101.52</v>
      </c>
      <c r="S864" t="str">
        <f t="shared" si="53"/>
        <v>March</v>
      </c>
      <c r="T864">
        <f t="shared" si="54"/>
        <v>3</v>
      </c>
      <c r="U864" t="str">
        <f t="shared" si="55"/>
        <v>Sunday</v>
      </c>
    </row>
    <row r="865" spans="1:21" x14ac:dyDescent="0.2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4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  <c r="R865" s="6">
        <f t="shared" si="52"/>
        <v>357.49</v>
      </c>
      <c r="S865" t="str">
        <f t="shared" si="53"/>
        <v>December</v>
      </c>
      <c r="T865">
        <f t="shared" si="54"/>
        <v>12</v>
      </c>
      <c r="U865" t="str">
        <f t="shared" si="55"/>
        <v>Sunday</v>
      </c>
    </row>
    <row r="866" spans="1:21" x14ac:dyDescent="0.2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4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  <c r="R866" s="6">
        <f t="shared" si="52"/>
        <v>238.77</v>
      </c>
      <c r="S866" t="str">
        <f t="shared" si="53"/>
        <v>August</v>
      </c>
      <c r="T866">
        <f t="shared" si="54"/>
        <v>8</v>
      </c>
      <c r="U866" t="str">
        <f t="shared" si="55"/>
        <v>Thursday</v>
      </c>
    </row>
    <row r="867" spans="1:21" x14ac:dyDescent="0.2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4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  <c r="R867" s="6">
        <f t="shared" si="52"/>
        <v>101.43</v>
      </c>
      <c r="S867" t="str">
        <f t="shared" si="53"/>
        <v>January</v>
      </c>
      <c r="T867">
        <f t="shared" si="54"/>
        <v>1</v>
      </c>
      <c r="U867" t="str">
        <f t="shared" si="55"/>
        <v>Saturday</v>
      </c>
    </row>
    <row r="868" spans="1:21" x14ac:dyDescent="0.2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4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  <c r="R868" s="6">
        <f t="shared" si="52"/>
        <v>724.24</v>
      </c>
      <c r="S868" t="str">
        <f t="shared" si="53"/>
        <v>March</v>
      </c>
      <c r="T868">
        <f t="shared" si="54"/>
        <v>3</v>
      </c>
      <c r="U868" t="str">
        <f t="shared" si="55"/>
        <v>Friday</v>
      </c>
    </row>
    <row r="869" spans="1:21" x14ac:dyDescent="0.2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4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  <c r="R869" s="6">
        <f t="shared" si="52"/>
        <v>125.64</v>
      </c>
      <c r="S869" t="str">
        <f t="shared" si="53"/>
        <v>January</v>
      </c>
      <c r="T869">
        <f t="shared" si="54"/>
        <v>1</v>
      </c>
      <c r="U869" t="str">
        <f t="shared" si="55"/>
        <v>Thursday</v>
      </c>
    </row>
    <row r="870" spans="1:21" x14ac:dyDescent="0.2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4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  <c r="R870" s="6">
        <f t="shared" si="52"/>
        <v>72.929999999999993</v>
      </c>
      <c r="S870" t="str">
        <f t="shared" si="53"/>
        <v>August</v>
      </c>
      <c r="T870">
        <f t="shared" si="54"/>
        <v>8</v>
      </c>
      <c r="U870" t="str">
        <f t="shared" si="55"/>
        <v>Thursday</v>
      </c>
    </row>
    <row r="871" spans="1:21" x14ac:dyDescent="0.2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4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  <c r="R871" s="6">
        <f t="shared" si="52"/>
        <v>258.36</v>
      </c>
      <c r="S871" t="str">
        <f t="shared" si="53"/>
        <v>June</v>
      </c>
      <c r="T871">
        <f t="shared" si="54"/>
        <v>6</v>
      </c>
      <c r="U871" t="str">
        <f t="shared" si="55"/>
        <v>Saturday</v>
      </c>
    </row>
    <row r="872" spans="1:21" x14ac:dyDescent="0.2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4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  <c r="R872" s="6">
        <f t="shared" si="52"/>
        <v>173.74</v>
      </c>
      <c r="S872" t="str">
        <f t="shared" si="53"/>
        <v>February</v>
      </c>
      <c r="T872">
        <f t="shared" si="54"/>
        <v>2</v>
      </c>
      <c r="U872" t="str">
        <f t="shared" si="55"/>
        <v>Saturday</v>
      </c>
    </row>
    <row r="873" spans="1:21" x14ac:dyDescent="0.2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4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  <c r="R873" s="6">
        <f t="shared" si="52"/>
        <v>56.5</v>
      </c>
      <c r="S873" t="str">
        <f t="shared" si="53"/>
        <v>March</v>
      </c>
      <c r="T873">
        <f t="shared" si="54"/>
        <v>3</v>
      </c>
      <c r="U873" t="str">
        <f t="shared" si="55"/>
        <v>Wednesday</v>
      </c>
    </row>
    <row r="874" spans="1:21" x14ac:dyDescent="0.2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4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  <c r="R874" s="6">
        <f t="shared" si="52"/>
        <v>214.3</v>
      </c>
      <c r="S874" t="str">
        <f t="shared" si="53"/>
        <v>January</v>
      </c>
      <c r="T874">
        <f t="shared" si="54"/>
        <v>1</v>
      </c>
      <c r="U874" t="str">
        <f t="shared" si="55"/>
        <v>Monday</v>
      </c>
    </row>
    <row r="875" spans="1:21" x14ac:dyDescent="0.2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4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  <c r="R875" s="6">
        <f t="shared" si="52"/>
        <v>534.36</v>
      </c>
      <c r="S875" t="str">
        <f t="shared" si="53"/>
        <v>January</v>
      </c>
      <c r="T875">
        <f t="shared" si="54"/>
        <v>1</v>
      </c>
      <c r="U875" t="str">
        <f t="shared" si="55"/>
        <v>Friday</v>
      </c>
    </row>
    <row r="876" spans="1:21" x14ac:dyDescent="0.2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4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  <c r="R876" s="6">
        <f t="shared" si="52"/>
        <v>93.16</v>
      </c>
      <c r="S876" t="str">
        <f t="shared" si="53"/>
        <v>March</v>
      </c>
      <c r="T876">
        <f t="shared" si="54"/>
        <v>3</v>
      </c>
      <c r="U876" t="str">
        <f t="shared" si="55"/>
        <v>Tuesday</v>
      </c>
    </row>
    <row r="877" spans="1:21" x14ac:dyDescent="0.2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4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  <c r="R877" s="6">
        <f t="shared" si="52"/>
        <v>522.08000000000004</v>
      </c>
      <c r="S877" t="str">
        <f t="shared" si="53"/>
        <v>March</v>
      </c>
      <c r="T877">
        <f t="shared" si="54"/>
        <v>3</v>
      </c>
      <c r="U877" t="str">
        <f t="shared" si="55"/>
        <v>Friday</v>
      </c>
    </row>
    <row r="878" spans="1:21" x14ac:dyDescent="0.2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4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  <c r="R878" s="6">
        <f t="shared" si="52"/>
        <v>52.35</v>
      </c>
      <c r="S878" t="str">
        <f t="shared" si="53"/>
        <v>December</v>
      </c>
      <c r="T878">
        <f t="shared" si="54"/>
        <v>12</v>
      </c>
      <c r="U878" t="str">
        <f t="shared" si="55"/>
        <v>Monday</v>
      </c>
    </row>
    <row r="879" spans="1:21" x14ac:dyDescent="0.2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4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  <c r="R879" s="6">
        <f t="shared" si="52"/>
        <v>39.75</v>
      </c>
      <c r="S879" t="str">
        <f t="shared" si="53"/>
        <v>February</v>
      </c>
      <c r="T879">
        <f t="shared" si="54"/>
        <v>2</v>
      </c>
      <c r="U879" t="str">
        <f t="shared" si="55"/>
        <v>Monday</v>
      </c>
    </row>
    <row r="880" spans="1:21" x14ac:dyDescent="0.2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4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  <c r="R880" s="6">
        <f t="shared" si="52"/>
        <v>720.16</v>
      </c>
      <c r="S880" t="str">
        <f t="shared" si="53"/>
        <v>March</v>
      </c>
      <c r="T880">
        <f t="shared" si="54"/>
        <v>3</v>
      </c>
      <c r="U880" t="str">
        <f t="shared" si="55"/>
        <v>Thursday</v>
      </c>
    </row>
    <row r="881" spans="1:21" x14ac:dyDescent="0.2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4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  <c r="R881" s="6">
        <f t="shared" si="52"/>
        <v>96.8</v>
      </c>
      <c r="S881" t="str">
        <f t="shared" si="53"/>
        <v>January</v>
      </c>
      <c r="T881">
        <f t="shared" si="54"/>
        <v>1</v>
      </c>
      <c r="U881" t="str">
        <f t="shared" si="55"/>
        <v>Saturday</v>
      </c>
    </row>
    <row r="882" spans="1:21" x14ac:dyDescent="0.2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4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  <c r="R882" s="6">
        <f t="shared" si="52"/>
        <v>332.1</v>
      </c>
      <c r="S882" t="str">
        <f t="shared" si="53"/>
        <v>August</v>
      </c>
      <c r="T882">
        <f t="shared" si="54"/>
        <v>8</v>
      </c>
      <c r="U882" t="str">
        <f t="shared" si="55"/>
        <v>Thursday</v>
      </c>
    </row>
    <row r="883" spans="1:21" x14ac:dyDescent="0.2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4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  <c r="R883" s="6">
        <f t="shared" si="52"/>
        <v>81.44</v>
      </c>
      <c r="S883" t="str">
        <f t="shared" si="53"/>
        <v>March</v>
      </c>
      <c r="T883">
        <f t="shared" si="54"/>
        <v>3</v>
      </c>
      <c r="U883" t="str">
        <f t="shared" si="55"/>
        <v>Saturday</v>
      </c>
    </row>
    <row r="884" spans="1:21" x14ac:dyDescent="0.2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4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  <c r="R884" s="6">
        <f t="shared" si="52"/>
        <v>319.89999999999998</v>
      </c>
      <c r="S884" t="str">
        <f t="shared" si="53"/>
        <v>February</v>
      </c>
      <c r="T884">
        <f t="shared" si="54"/>
        <v>2</v>
      </c>
      <c r="U884" t="str">
        <f t="shared" si="55"/>
        <v>Wednesday</v>
      </c>
    </row>
    <row r="885" spans="1:21" x14ac:dyDescent="0.2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4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  <c r="R885" s="6">
        <f t="shared" si="52"/>
        <v>206.52</v>
      </c>
      <c r="S885" t="str">
        <f t="shared" si="53"/>
        <v>March</v>
      </c>
      <c r="T885">
        <f t="shared" si="54"/>
        <v>3</v>
      </c>
      <c r="U885" t="str">
        <f t="shared" si="55"/>
        <v>Saturday</v>
      </c>
    </row>
    <row r="886" spans="1:21" x14ac:dyDescent="0.2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4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  <c r="R886" s="6">
        <f t="shared" si="52"/>
        <v>166.68</v>
      </c>
      <c r="S886" t="str">
        <f t="shared" si="53"/>
        <v>March</v>
      </c>
      <c r="T886">
        <f t="shared" si="54"/>
        <v>3</v>
      </c>
      <c r="U886" t="str">
        <f t="shared" si="55"/>
        <v>Tuesday</v>
      </c>
    </row>
    <row r="887" spans="1:21" x14ac:dyDescent="0.2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4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  <c r="R887" s="6">
        <f t="shared" si="52"/>
        <v>319.06</v>
      </c>
      <c r="S887" t="str">
        <f t="shared" si="53"/>
        <v>January</v>
      </c>
      <c r="T887">
        <f t="shared" si="54"/>
        <v>1</v>
      </c>
      <c r="U887" t="str">
        <f t="shared" si="55"/>
        <v>Sunday</v>
      </c>
    </row>
    <row r="888" spans="1:21" x14ac:dyDescent="0.2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4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  <c r="R888" s="6">
        <f t="shared" si="52"/>
        <v>87.9</v>
      </c>
      <c r="S888" t="str">
        <f t="shared" si="53"/>
        <v>May</v>
      </c>
      <c r="T888">
        <f t="shared" si="54"/>
        <v>5</v>
      </c>
      <c r="U888" t="str">
        <f t="shared" si="55"/>
        <v>Thursday</v>
      </c>
    </row>
    <row r="889" spans="1:21" x14ac:dyDescent="0.2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4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  <c r="R889" s="6">
        <f t="shared" si="52"/>
        <v>734.7</v>
      </c>
      <c r="S889" t="str">
        <f t="shared" si="53"/>
        <v>March</v>
      </c>
      <c r="T889">
        <f t="shared" si="54"/>
        <v>3</v>
      </c>
      <c r="U889" t="str">
        <f t="shared" si="55"/>
        <v>Saturday</v>
      </c>
    </row>
    <row r="890" spans="1:21" x14ac:dyDescent="0.2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4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  <c r="R890" s="6">
        <f t="shared" si="52"/>
        <v>97.52</v>
      </c>
      <c r="S890" t="str">
        <f t="shared" si="53"/>
        <v>March</v>
      </c>
      <c r="T890">
        <f t="shared" si="54"/>
        <v>3</v>
      </c>
      <c r="U890" t="str">
        <f t="shared" si="55"/>
        <v>Wednesday</v>
      </c>
    </row>
    <row r="891" spans="1:21" x14ac:dyDescent="0.2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4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  <c r="R891" s="6">
        <f t="shared" si="52"/>
        <v>769.2</v>
      </c>
      <c r="S891" t="str">
        <f t="shared" si="53"/>
        <v>March</v>
      </c>
      <c r="T891">
        <f t="shared" si="54"/>
        <v>3</v>
      </c>
      <c r="U891" t="str">
        <f t="shared" si="55"/>
        <v>Sunday</v>
      </c>
    </row>
    <row r="892" spans="1:21" x14ac:dyDescent="0.2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4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  <c r="R892" s="6">
        <f t="shared" si="52"/>
        <v>418.29999999999995</v>
      </c>
      <c r="S892" t="str">
        <f t="shared" si="53"/>
        <v>February</v>
      </c>
      <c r="T892">
        <f t="shared" si="54"/>
        <v>2</v>
      </c>
      <c r="U892" t="str">
        <f t="shared" si="55"/>
        <v>Thursday</v>
      </c>
    </row>
    <row r="893" spans="1:21" x14ac:dyDescent="0.2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4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  <c r="R893" s="6">
        <f t="shared" si="52"/>
        <v>463.28</v>
      </c>
      <c r="S893" t="str">
        <f t="shared" si="53"/>
        <v>July</v>
      </c>
      <c r="T893">
        <f t="shared" si="54"/>
        <v>7</v>
      </c>
      <c r="U893" t="str">
        <f t="shared" si="55"/>
        <v>Tuesday</v>
      </c>
    </row>
    <row r="894" spans="1:21" x14ac:dyDescent="0.2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4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  <c r="R894" s="6">
        <f t="shared" si="52"/>
        <v>462.45</v>
      </c>
      <c r="S894" t="str">
        <f t="shared" si="53"/>
        <v>February</v>
      </c>
      <c r="T894">
        <f t="shared" si="54"/>
        <v>2</v>
      </c>
      <c r="U894" t="str">
        <f t="shared" si="55"/>
        <v>Sunday</v>
      </c>
    </row>
    <row r="895" spans="1:21" x14ac:dyDescent="0.2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4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  <c r="R895" s="6">
        <f t="shared" si="52"/>
        <v>141.9</v>
      </c>
      <c r="S895" t="str">
        <f t="shared" si="53"/>
        <v>June</v>
      </c>
      <c r="T895">
        <f t="shared" si="54"/>
        <v>6</v>
      </c>
      <c r="U895" t="str">
        <f t="shared" si="55"/>
        <v>Monday</v>
      </c>
    </row>
    <row r="896" spans="1:21" x14ac:dyDescent="0.2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4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  <c r="R896" s="6">
        <f t="shared" si="52"/>
        <v>302.70000000000005</v>
      </c>
      <c r="S896" t="str">
        <f t="shared" si="53"/>
        <v>June</v>
      </c>
      <c r="T896">
        <f t="shared" si="54"/>
        <v>6</v>
      </c>
      <c r="U896" t="str">
        <f t="shared" si="55"/>
        <v>Sunday</v>
      </c>
    </row>
    <row r="897" spans="1:21" x14ac:dyDescent="0.2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4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  <c r="R897" s="6">
        <f t="shared" si="52"/>
        <v>793.28</v>
      </c>
      <c r="S897" t="str">
        <f t="shared" si="53"/>
        <v>January</v>
      </c>
      <c r="T897">
        <f t="shared" si="54"/>
        <v>1</v>
      </c>
      <c r="U897" t="str">
        <f t="shared" si="55"/>
        <v>Monday</v>
      </c>
    </row>
    <row r="898" spans="1:21" x14ac:dyDescent="0.2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4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  <c r="R898" s="6">
        <f t="shared" si="52"/>
        <v>425.18</v>
      </c>
      <c r="S898" t="str">
        <f t="shared" si="53"/>
        <v>January</v>
      </c>
      <c r="T898">
        <f t="shared" si="54"/>
        <v>1</v>
      </c>
      <c r="U898" t="str">
        <f t="shared" si="55"/>
        <v>Friday</v>
      </c>
    </row>
    <row r="899" spans="1:21" x14ac:dyDescent="0.2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4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  <c r="R899" s="6">
        <f t="shared" ref="R899:R962" si="56">H899*G899</f>
        <v>283.62</v>
      </c>
      <c r="S899" t="str">
        <f t="shared" ref="S899:S962" si="57">TEXT(K899,"mmmm")</f>
        <v>May</v>
      </c>
      <c r="T899">
        <f t="shared" ref="T899:T962" si="58">MONTH(K899)</f>
        <v>5</v>
      </c>
      <c r="U899" t="str">
        <f t="shared" ref="U899:U962" si="59">TEXT(K899,"dddd")</f>
        <v>Thursday</v>
      </c>
    </row>
    <row r="900" spans="1:21" x14ac:dyDescent="0.2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4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  <c r="R900" s="6">
        <f t="shared" si="56"/>
        <v>599.19999999999993</v>
      </c>
      <c r="S900" t="str">
        <f t="shared" si="57"/>
        <v>February</v>
      </c>
      <c r="T900">
        <f t="shared" si="58"/>
        <v>2</v>
      </c>
      <c r="U900" t="str">
        <f t="shared" si="59"/>
        <v>Sunday</v>
      </c>
    </row>
    <row r="901" spans="1:21" x14ac:dyDescent="0.2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4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  <c r="R901" s="6">
        <f t="shared" si="56"/>
        <v>315.36</v>
      </c>
      <c r="S901" t="str">
        <f t="shared" si="57"/>
        <v>September</v>
      </c>
      <c r="T901">
        <f t="shared" si="58"/>
        <v>9</v>
      </c>
      <c r="U901" t="str">
        <f t="shared" si="59"/>
        <v>Monday</v>
      </c>
    </row>
    <row r="902" spans="1:21" x14ac:dyDescent="0.2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4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  <c r="R902" s="6">
        <f t="shared" si="56"/>
        <v>403.56000000000006</v>
      </c>
      <c r="S902" t="str">
        <f t="shared" si="57"/>
        <v>January</v>
      </c>
      <c r="T902">
        <f t="shared" si="58"/>
        <v>1</v>
      </c>
      <c r="U902" t="str">
        <f t="shared" si="59"/>
        <v>Monday</v>
      </c>
    </row>
    <row r="903" spans="1:21" x14ac:dyDescent="0.2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4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  <c r="R903" s="6">
        <f t="shared" si="56"/>
        <v>183.88</v>
      </c>
      <c r="S903" t="str">
        <f t="shared" si="57"/>
        <v>September</v>
      </c>
      <c r="T903">
        <f t="shared" si="58"/>
        <v>9</v>
      </c>
      <c r="U903" t="str">
        <f t="shared" si="59"/>
        <v>Monday</v>
      </c>
    </row>
    <row r="904" spans="1:21" x14ac:dyDescent="0.2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4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  <c r="R904" s="6">
        <f t="shared" si="56"/>
        <v>138.65</v>
      </c>
      <c r="S904" t="str">
        <f t="shared" si="57"/>
        <v>March</v>
      </c>
      <c r="T904">
        <f t="shared" si="58"/>
        <v>3</v>
      </c>
      <c r="U904" t="str">
        <f t="shared" si="59"/>
        <v>Tuesday</v>
      </c>
    </row>
    <row r="905" spans="1:21" x14ac:dyDescent="0.2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4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  <c r="R905" s="6">
        <f t="shared" si="56"/>
        <v>80.709999999999994</v>
      </c>
      <c r="S905" t="str">
        <f t="shared" si="57"/>
        <v>January</v>
      </c>
      <c r="T905">
        <f t="shared" si="58"/>
        <v>1</v>
      </c>
      <c r="U905" t="str">
        <f t="shared" si="59"/>
        <v>Monday</v>
      </c>
    </row>
    <row r="906" spans="1:21" x14ac:dyDescent="0.2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4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  <c r="R906" s="6">
        <f t="shared" si="56"/>
        <v>116.64</v>
      </c>
      <c r="S906" t="str">
        <f t="shared" si="57"/>
        <v>February</v>
      </c>
      <c r="T906">
        <f t="shared" si="58"/>
        <v>2</v>
      </c>
      <c r="U906" t="str">
        <f t="shared" si="59"/>
        <v>Thursday</v>
      </c>
    </row>
    <row r="907" spans="1:21" x14ac:dyDescent="0.2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4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  <c r="R907" s="6">
        <f t="shared" si="56"/>
        <v>313.52</v>
      </c>
      <c r="S907" t="str">
        <f t="shared" si="57"/>
        <v>March</v>
      </c>
      <c r="T907">
        <f t="shared" si="58"/>
        <v>3</v>
      </c>
      <c r="U907" t="str">
        <f t="shared" si="59"/>
        <v>Sunday</v>
      </c>
    </row>
    <row r="908" spans="1:21" x14ac:dyDescent="0.2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4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  <c r="R908" s="6">
        <f t="shared" si="56"/>
        <v>846.1</v>
      </c>
      <c r="S908" t="str">
        <f t="shared" si="57"/>
        <v>September</v>
      </c>
      <c r="T908">
        <f t="shared" si="58"/>
        <v>9</v>
      </c>
      <c r="U908" t="str">
        <f t="shared" si="59"/>
        <v>Monday</v>
      </c>
    </row>
    <row r="909" spans="1:21" x14ac:dyDescent="0.2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4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  <c r="R909" s="6">
        <f t="shared" si="56"/>
        <v>414.4</v>
      </c>
      <c r="S909" t="str">
        <f t="shared" si="57"/>
        <v>March</v>
      </c>
      <c r="T909">
        <f t="shared" si="58"/>
        <v>3</v>
      </c>
      <c r="U909" t="str">
        <f t="shared" si="59"/>
        <v>Sunday</v>
      </c>
    </row>
    <row r="910" spans="1:21" x14ac:dyDescent="0.2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4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  <c r="R910" s="6">
        <f t="shared" si="56"/>
        <v>159.08000000000001</v>
      </c>
      <c r="S910" t="str">
        <f t="shared" si="57"/>
        <v>March</v>
      </c>
      <c r="T910">
        <f t="shared" si="58"/>
        <v>3</v>
      </c>
      <c r="U910" t="str">
        <f t="shared" si="59"/>
        <v>Wednesday</v>
      </c>
    </row>
    <row r="911" spans="1:21" x14ac:dyDescent="0.2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4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  <c r="R911" s="6">
        <f t="shared" si="56"/>
        <v>490.09999999999997</v>
      </c>
      <c r="S911" t="str">
        <f t="shared" si="57"/>
        <v>January</v>
      </c>
      <c r="T911">
        <f t="shared" si="58"/>
        <v>1</v>
      </c>
      <c r="U911" t="str">
        <f t="shared" si="59"/>
        <v>Sunday</v>
      </c>
    </row>
    <row r="912" spans="1:21" x14ac:dyDescent="0.2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4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  <c r="R912" s="6">
        <f t="shared" si="56"/>
        <v>87.449999999999989</v>
      </c>
      <c r="S912" t="str">
        <f t="shared" si="57"/>
        <v>March</v>
      </c>
      <c r="T912">
        <f t="shared" si="58"/>
        <v>3</v>
      </c>
      <c r="U912" t="str">
        <f t="shared" si="59"/>
        <v>Wednesday</v>
      </c>
    </row>
    <row r="913" spans="1:21" x14ac:dyDescent="0.2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4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  <c r="R913" s="6">
        <f t="shared" si="56"/>
        <v>224.52</v>
      </c>
      <c r="S913" t="str">
        <f t="shared" si="57"/>
        <v>January</v>
      </c>
      <c r="T913">
        <f t="shared" si="58"/>
        <v>1</v>
      </c>
      <c r="U913" t="str">
        <f t="shared" si="59"/>
        <v>Saturday</v>
      </c>
    </row>
    <row r="914" spans="1:21" x14ac:dyDescent="0.2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4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  <c r="R914" s="6">
        <f t="shared" si="56"/>
        <v>744.96</v>
      </c>
      <c r="S914" t="str">
        <f t="shared" si="57"/>
        <v>July</v>
      </c>
      <c r="T914">
        <f t="shared" si="58"/>
        <v>7</v>
      </c>
      <c r="U914" t="str">
        <f t="shared" si="59"/>
        <v>Tuesday</v>
      </c>
    </row>
    <row r="915" spans="1:21" x14ac:dyDescent="0.2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4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  <c r="R915" s="6">
        <f t="shared" si="56"/>
        <v>410.72</v>
      </c>
      <c r="S915" t="str">
        <f t="shared" si="57"/>
        <v>January</v>
      </c>
      <c r="T915">
        <f t="shared" si="58"/>
        <v>1</v>
      </c>
      <c r="U915" t="str">
        <f t="shared" si="59"/>
        <v>Thursday</v>
      </c>
    </row>
    <row r="916" spans="1:21" x14ac:dyDescent="0.2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4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  <c r="R916" s="6">
        <f t="shared" si="56"/>
        <v>298.79999999999995</v>
      </c>
      <c r="S916" t="str">
        <f t="shared" si="57"/>
        <v>February</v>
      </c>
      <c r="T916">
        <f t="shared" si="58"/>
        <v>2</v>
      </c>
      <c r="U916" t="str">
        <f t="shared" si="59"/>
        <v>Monday</v>
      </c>
    </row>
    <row r="917" spans="1:21" x14ac:dyDescent="0.2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4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  <c r="R917" s="6">
        <f t="shared" si="56"/>
        <v>212.94</v>
      </c>
      <c r="S917" t="str">
        <f t="shared" si="57"/>
        <v>February</v>
      </c>
      <c r="T917">
        <f t="shared" si="58"/>
        <v>2</v>
      </c>
      <c r="U917" t="str">
        <f t="shared" si="59"/>
        <v>Saturday</v>
      </c>
    </row>
    <row r="918" spans="1:21" x14ac:dyDescent="0.2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4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  <c r="R918" s="6">
        <f t="shared" si="56"/>
        <v>42.85</v>
      </c>
      <c r="S918" t="str">
        <f t="shared" si="57"/>
        <v>March</v>
      </c>
      <c r="T918">
        <f t="shared" si="58"/>
        <v>3</v>
      </c>
      <c r="U918" t="str">
        <f t="shared" si="59"/>
        <v>Thursday</v>
      </c>
    </row>
    <row r="919" spans="1:21" x14ac:dyDescent="0.2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4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  <c r="R919" s="6">
        <f t="shared" si="56"/>
        <v>378.68</v>
      </c>
      <c r="S919" t="str">
        <f t="shared" si="57"/>
        <v>November</v>
      </c>
      <c r="T919">
        <f t="shared" si="58"/>
        <v>11</v>
      </c>
      <c r="U919" t="str">
        <f t="shared" si="59"/>
        <v>Sunday</v>
      </c>
    </row>
    <row r="920" spans="1:21" x14ac:dyDescent="0.2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4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  <c r="R920" s="6">
        <f t="shared" si="56"/>
        <v>206.91</v>
      </c>
      <c r="S920" t="str">
        <f t="shared" si="57"/>
        <v>February</v>
      </c>
      <c r="T920">
        <f t="shared" si="58"/>
        <v>2</v>
      </c>
      <c r="U920" t="str">
        <f t="shared" si="59"/>
        <v>Friday</v>
      </c>
    </row>
    <row r="921" spans="1:21" x14ac:dyDescent="0.2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4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  <c r="R921" s="6">
        <f t="shared" si="56"/>
        <v>78.78</v>
      </c>
      <c r="S921" t="str">
        <f t="shared" si="57"/>
        <v>February</v>
      </c>
      <c r="T921">
        <f t="shared" si="58"/>
        <v>2</v>
      </c>
      <c r="U921" t="str">
        <f t="shared" si="59"/>
        <v>Sunday</v>
      </c>
    </row>
    <row r="922" spans="1:21" x14ac:dyDescent="0.2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4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  <c r="R922" s="6">
        <f t="shared" si="56"/>
        <v>322.11</v>
      </c>
      <c r="S922" t="str">
        <f t="shared" si="57"/>
        <v>October</v>
      </c>
      <c r="T922">
        <f t="shared" si="58"/>
        <v>10</v>
      </c>
      <c r="U922" t="str">
        <f t="shared" si="59"/>
        <v>Thursday</v>
      </c>
    </row>
    <row r="923" spans="1:21" x14ac:dyDescent="0.2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4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  <c r="R923" s="6">
        <f t="shared" si="56"/>
        <v>98.22</v>
      </c>
      <c r="S923" t="str">
        <f t="shared" si="57"/>
        <v>August</v>
      </c>
      <c r="T923">
        <f t="shared" si="58"/>
        <v>8</v>
      </c>
      <c r="U923" t="str">
        <f t="shared" si="59"/>
        <v>Friday</v>
      </c>
    </row>
    <row r="924" spans="1:21" x14ac:dyDescent="0.2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4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  <c r="R924" s="6">
        <f t="shared" si="56"/>
        <v>25.46</v>
      </c>
      <c r="S924" t="str">
        <f t="shared" si="57"/>
        <v>February</v>
      </c>
      <c r="T924">
        <f t="shared" si="58"/>
        <v>2</v>
      </c>
      <c r="U924" t="str">
        <f t="shared" si="59"/>
        <v>Friday</v>
      </c>
    </row>
    <row r="925" spans="1:21" x14ac:dyDescent="0.2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4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  <c r="R925" s="6">
        <f t="shared" si="56"/>
        <v>581.98</v>
      </c>
      <c r="S925" t="str">
        <f t="shared" si="57"/>
        <v>October</v>
      </c>
      <c r="T925">
        <f t="shared" si="58"/>
        <v>10</v>
      </c>
      <c r="U925" t="str">
        <f t="shared" si="59"/>
        <v>Tuesday</v>
      </c>
    </row>
    <row r="926" spans="1:21" x14ac:dyDescent="0.2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4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  <c r="R926" s="6">
        <f t="shared" si="56"/>
        <v>211.32</v>
      </c>
      <c r="S926" t="str">
        <f t="shared" si="57"/>
        <v>March</v>
      </c>
      <c r="T926">
        <f t="shared" si="58"/>
        <v>3</v>
      </c>
      <c r="U926" t="str">
        <f t="shared" si="59"/>
        <v>Thursday</v>
      </c>
    </row>
    <row r="927" spans="1:21" x14ac:dyDescent="0.2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4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  <c r="R927" s="6">
        <f t="shared" si="56"/>
        <v>55.12</v>
      </c>
      <c r="S927" t="str">
        <f t="shared" si="57"/>
        <v>October</v>
      </c>
      <c r="T927">
        <f t="shared" si="58"/>
        <v>10</v>
      </c>
      <c r="U927" t="str">
        <f t="shared" si="59"/>
        <v>Tuesday</v>
      </c>
    </row>
    <row r="928" spans="1:21" x14ac:dyDescent="0.2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4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  <c r="R928" s="6">
        <f t="shared" si="56"/>
        <v>88.31</v>
      </c>
      <c r="S928" t="str">
        <f t="shared" si="57"/>
        <v>February</v>
      </c>
      <c r="T928">
        <f t="shared" si="58"/>
        <v>2</v>
      </c>
      <c r="U928" t="str">
        <f t="shared" si="59"/>
        <v>Friday</v>
      </c>
    </row>
    <row r="929" spans="1:21" x14ac:dyDescent="0.2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4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  <c r="R929" s="6">
        <f t="shared" si="56"/>
        <v>356.58</v>
      </c>
      <c r="S929" t="str">
        <f t="shared" si="57"/>
        <v>January</v>
      </c>
      <c r="T929">
        <f t="shared" si="58"/>
        <v>1</v>
      </c>
      <c r="U929" t="str">
        <f t="shared" si="59"/>
        <v>Sunday</v>
      </c>
    </row>
    <row r="930" spans="1:21" x14ac:dyDescent="0.2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4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  <c r="R930" s="6">
        <f t="shared" si="56"/>
        <v>794.25</v>
      </c>
      <c r="S930" t="str">
        <f t="shared" si="57"/>
        <v>February</v>
      </c>
      <c r="T930">
        <f t="shared" si="58"/>
        <v>2</v>
      </c>
      <c r="U930" t="str">
        <f t="shared" si="59"/>
        <v>Friday</v>
      </c>
    </row>
    <row r="931" spans="1:21" x14ac:dyDescent="0.2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4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  <c r="R931" s="6">
        <f t="shared" si="56"/>
        <v>50.62</v>
      </c>
      <c r="S931" t="str">
        <f t="shared" si="57"/>
        <v>February</v>
      </c>
      <c r="T931">
        <f t="shared" si="58"/>
        <v>2</v>
      </c>
      <c r="U931" t="str">
        <f t="shared" si="59"/>
        <v>Sunday</v>
      </c>
    </row>
    <row r="932" spans="1:21" x14ac:dyDescent="0.2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4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  <c r="R932" s="6">
        <f t="shared" si="56"/>
        <v>599.52</v>
      </c>
      <c r="S932" t="str">
        <f t="shared" si="57"/>
        <v>March</v>
      </c>
      <c r="T932">
        <f t="shared" si="58"/>
        <v>3</v>
      </c>
      <c r="U932" t="str">
        <f t="shared" si="59"/>
        <v>Sunday</v>
      </c>
    </row>
    <row r="933" spans="1:21" x14ac:dyDescent="0.2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4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  <c r="R933" s="6">
        <f t="shared" si="56"/>
        <v>166.7</v>
      </c>
      <c r="S933" t="str">
        <f t="shared" si="57"/>
        <v>February</v>
      </c>
      <c r="T933">
        <f t="shared" si="58"/>
        <v>2</v>
      </c>
      <c r="U933" t="str">
        <f t="shared" si="59"/>
        <v>Saturday</v>
      </c>
    </row>
    <row r="934" spans="1:21" x14ac:dyDescent="0.2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4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  <c r="R934" s="6">
        <f t="shared" si="56"/>
        <v>744.4</v>
      </c>
      <c r="S934" t="str">
        <f t="shared" si="57"/>
        <v>February</v>
      </c>
      <c r="T934">
        <f t="shared" si="58"/>
        <v>2</v>
      </c>
      <c r="U934" t="str">
        <f t="shared" si="59"/>
        <v>Wednesday</v>
      </c>
    </row>
    <row r="935" spans="1:21" x14ac:dyDescent="0.2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4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  <c r="R935" s="6">
        <f t="shared" si="56"/>
        <v>448.56</v>
      </c>
      <c r="S935" t="str">
        <f t="shared" si="57"/>
        <v>January</v>
      </c>
      <c r="T935">
        <f t="shared" si="58"/>
        <v>1</v>
      </c>
      <c r="U935" t="str">
        <f t="shared" si="59"/>
        <v>Sunday</v>
      </c>
    </row>
    <row r="936" spans="1:21" x14ac:dyDescent="0.2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4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  <c r="R936" s="6">
        <f t="shared" si="56"/>
        <v>378.9</v>
      </c>
      <c r="S936" t="str">
        <f t="shared" si="57"/>
        <v>March</v>
      </c>
      <c r="T936">
        <f t="shared" si="58"/>
        <v>3</v>
      </c>
      <c r="U936" t="str">
        <f t="shared" si="59"/>
        <v>Friday</v>
      </c>
    </row>
    <row r="937" spans="1:21" x14ac:dyDescent="0.2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4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  <c r="R937" s="6">
        <f t="shared" si="56"/>
        <v>257.15999999999997</v>
      </c>
      <c r="S937" t="str">
        <f t="shared" si="57"/>
        <v>January</v>
      </c>
      <c r="T937">
        <f t="shared" si="58"/>
        <v>1</v>
      </c>
      <c r="U937" t="str">
        <f t="shared" si="59"/>
        <v>Thursday</v>
      </c>
    </row>
    <row r="938" spans="1:21" x14ac:dyDescent="0.2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4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  <c r="R938" s="6">
        <f t="shared" si="56"/>
        <v>552.23</v>
      </c>
      <c r="S938" t="str">
        <f t="shared" si="57"/>
        <v>May</v>
      </c>
      <c r="T938">
        <f t="shared" si="58"/>
        <v>5</v>
      </c>
      <c r="U938" t="str">
        <f t="shared" si="59"/>
        <v>Wednesday</v>
      </c>
    </row>
    <row r="939" spans="1:21" x14ac:dyDescent="0.2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4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  <c r="R939" s="6">
        <f t="shared" si="56"/>
        <v>447.40000000000003</v>
      </c>
      <c r="S939" t="str">
        <f t="shared" si="57"/>
        <v>March</v>
      </c>
      <c r="T939">
        <f t="shared" si="58"/>
        <v>3</v>
      </c>
      <c r="U939" t="str">
        <f t="shared" si="59"/>
        <v>Saturday</v>
      </c>
    </row>
    <row r="940" spans="1:21" x14ac:dyDescent="0.2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4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  <c r="R940" s="6">
        <f t="shared" si="56"/>
        <v>276.27</v>
      </c>
      <c r="S940" t="str">
        <f t="shared" si="57"/>
        <v>February</v>
      </c>
      <c r="T940">
        <f t="shared" si="58"/>
        <v>2</v>
      </c>
      <c r="U940" t="str">
        <f t="shared" si="59"/>
        <v>Sunday</v>
      </c>
    </row>
    <row r="941" spans="1:21" x14ac:dyDescent="0.2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4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  <c r="R941" s="6">
        <f t="shared" si="56"/>
        <v>343.74</v>
      </c>
      <c r="S941" t="str">
        <f t="shared" si="57"/>
        <v>March</v>
      </c>
      <c r="T941">
        <f t="shared" si="58"/>
        <v>3</v>
      </c>
      <c r="U941" t="str">
        <f t="shared" si="59"/>
        <v>Thursday</v>
      </c>
    </row>
    <row r="942" spans="1:21" x14ac:dyDescent="0.2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4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  <c r="R942" s="6">
        <f t="shared" si="56"/>
        <v>266.08</v>
      </c>
      <c r="S942" t="str">
        <f t="shared" si="57"/>
        <v>February</v>
      </c>
      <c r="T942">
        <f t="shared" si="58"/>
        <v>2</v>
      </c>
      <c r="U942" t="str">
        <f t="shared" si="59"/>
        <v>Sunday</v>
      </c>
    </row>
    <row r="943" spans="1:21" x14ac:dyDescent="0.2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4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  <c r="R943" s="6">
        <f t="shared" si="56"/>
        <v>898.37999999999988</v>
      </c>
      <c r="S943" t="str">
        <f t="shared" si="57"/>
        <v>March</v>
      </c>
      <c r="T943">
        <f t="shared" si="58"/>
        <v>3</v>
      </c>
      <c r="U943" t="str">
        <f t="shared" si="59"/>
        <v>Wednesday</v>
      </c>
    </row>
    <row r="944" spans="1:21" x14ac:dyDescent="0.2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4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  <c r="R944" s="6">
        <f t="shared" si="56"/>
        <v>456.8</v>
      </c>
      <c r="S944" t="str">
        <f t="shared" si="57"/>
        <v>January</v>
      </c>
      <c r="T944">
        <f t="shared" si="58"/>
        <v>1</v>
      </c>
      <c r="U944" t="str">
        <f t="shared" si="59"/>
        <v>Saturday</v>
      </c>
    </row>
    <row r="945" spans="1:21" x14ac:dyDescent="0.2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4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  <c r="R945" s="6">
        <f t="shared" si="56"/>
        <v>253.95</v>
      </c>
      <c r="S945" t="str">
        <f t="shared" si="57"/>
        <v>February</v>
      </c>
      <c r="T945">
        <f t="shared" si="58"/>
        <v>2</v>
      </c>
      <c r="U945" t="str">
        <f t="shared" si="59"/>
        <v>Tuesday</v>
      </c>
    </row>
    <row r="946" spans="1:21" x14ac:dyDescent="0.2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4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  <c r="R946" s="6">
        <f t="shared" si="56"/>
        <v>70.56</v>
      </c>
      <c r="S946" t="str">
        <f t="shared" si="57"/>
        <v>March</v>
      </c>
      <c r="T946">
        <f t="shared" si="58"/>
        <v>3</v>
      </c>
      <c r="U946" t="str">
        <f t="shared" si="59"/>
        <v>Thursday</v>
      </c>
    </row>
    <row r="947" spans="1:21" x14ac:dyDescent="0.2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4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  <c r="R947" s="6">
        <f t="shared" si="56"/>
        <v>657.16</v>
      </c>
      <c r="S947" t="str">
        <f t="shared" si="57"/>
        <v>May</v>
      </c>
      <c r="T947">
        <f t="shared" si="58"/>
        <v>5</v>
      </c>
      <c r="U947" t="str">
        <f t="shared" si="59"/>
        <v>Wednesday</v>
      </c>
    </row>
    <row r="948" spans="1:21" x14ac:dyDescent="0.2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4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  <c r="R948" s="6">
        <f t="shared" si="56"/>
        <v>168.5</v>
      </c>
      <c r="S948" t="str">
        <f t="shared" si="57"/>
        <v>March</v>
      </c>
      <c r="T948">
        <f t="shared" si="58"/>
        <v>3</v>
      </c>
      <c r="U948" t="str">
        <f t="shared" si="59"/>
        <v>Tuesday</v>
      </c>
    </row>
    <row r="949" spans="1:21" x14ac:dyDescent="0.2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4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  <c r="R949" s="6">
        <f t="shared" si="56"/>
        <v>53.78</v>
      </c>
      <c r="S949" t="str">
        <f t="shared" si="57"/>
        <v>March</v>
      </c>
      <c r="T949">
        <f t="shared" si="58"/>
        <v>3</v>
      </c>
      <c r="U949" t="str">
        <f t="shared" si="59"/>
        <v>Saturday</v>
      </c>
    </row>
    <row r="950" spans="1:21" x14ac:dyDescent="0.2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4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  <c r="R950" s="6">
        <f t="shared" si="56"/>
        <v>179.05</v>
      </c>
      <c r="S950" t="str">
        <f t="shared" si="57"/>
        <v>June</v>
      </c>
      <c r="T950">
        <f t="shared" si="58"/>
        <v>6</v>
      </c>
      <c r="U950" t="str">
        <f t="shared" si="59"/>
        <v>Sunday</v>
      </c>
    </row>
    <row r="951" spans="1:21" x14ac:dyDescent="0.2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4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  <c r="R951" s="6">
        <f t="shared" si="56"/>
        <v>211.44</v>
      </c>
      <c r="S951" t="str">
        <f t="shared" si="57"/>
        <v>February</v>
      </c>
      <c r="T951">
        <f t="shared" si="58"/>
        <v>2</v>
      </c>
      <c r="U951" t="str">
        <f t="shared" si="59"/>
        <v>Sunday</v>
      </c>
    </row>
    <row r="952" spans="1:21" x14ac:dyDescent="0.2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4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  <c r="R952" s="6">
        <f t="shared" si="56"/>
        <v>119.72999999999999</v>
      </c>
      <c r="S952" t="str">
        <f t="shared" si="57"/>
        <v>February</v>
      </c>
      <c r="T952">
        <f t="shared" si="58"/>
        <v>2</v>
      </c>
      <c r="U952" t="str">
        <f t="shared" si="59"/>
        <v>Thursday</v>
      </c>
    </row>
    <row r="953" spans="1:21" x14ac:dyDescent="0.2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4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  <c r="R953" s="6">
        <f t="shared" si="56"/>
        <v>65.699999999999989</v>
      </c>
      <c r="S953" t="str">
        <f t="shared" si="57"/>
        <v>September</v>
      </c>
      <c r="T953">
        <f t="shared" si="58"/>
        <v>9</v>
      </c>
      <c r="U953" t="str">
        <f t="shared" si="59"/>
        <v>Sunday</v>
      </c>
    </row>
    <row r="954" spans="1:21" x14ac:dyDescent="0.2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4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  <c r="R954" s="6">
        <f t="shared" si="56"/>
        <v>251.4</v>
      </c>
      <c r="S954" t="str">
        <f t="shared" si="57"/>
        <v>February</v>
      </c>
      <c r="T954">
        <f t="shared" si="58"/>
        <v>2</v>
      </c>
      <c r="U954" t="str">
        <f t="shared" si="59"/>
        <v>Monday</v>
      </c>
    </row>
    <row r="955" spans="1:21" x14ac:dyDescent="0.2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4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  <c r="R955" s="6">
        <f t="shared" si="56"/>
        <v>84.16</v>
      </c>
      <c r="S955" t="str">
        <f t="shared" si="57"/>
        <v>January</v>
      </c>
      <c r="T955">
        <f t="shared" si="58"/>
        <v>1</v>
      </c>
      <c r="U955" t="str">
        <f t="shared" si="59"/>
        <v>Sunday</v>
      </c>
    </row>
    <row r="956" spans="1:21" x14ac:dyDescent="0.2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4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  <c r="R956" s="6">
        <f t="shared" si="56"/>
        <v>395.46</v>
      </c>
      <c r="S956" t="str">
        <f t="shared" si="57"/>
        <v>September</v>
      </c>
      <c r="T956">
        <f t="shared" si="58"/>
        <v>9</v>
      </c>
      <c r="U956" t="str">
        <f t="shared" si="59"/>
        <v>Monday</v>
      </c>
    </row>
    <row r="957" spans="1:21" x14ac:dyDescent="0.2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4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  <c r="R957" s="6">
        <f t="shared" si="56"/>
        <v>297.99</v>
      </c>
      <c r="S957" t="str">
        <f t="shared" si="57"/>
        <v>June</v>
      </c>
      <c r="T957">
        <f t="shared" si="58"/>
        <v>6</v>
      </c>
      <c r="U957" t="str">
        <f t="shared" si="59"/>
        <v>Saturday</v>
      </c>
    </row>
    <row r="958" spans="1:21" x14ac:dyDescent="0.2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4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  <c r="R958" s="6">
        <f t="shared" si="56"/>
        <v>454.41</v>
      </c>
      <c r="S958" t="str">
        <f t="shared" si="57"/>
        <v>October</v>
      </c>
      <c r="T958">
        <f t="shared" si="58"/>
        <v>10</v>
      </c>
      <c r="U958" t="str">
        <f t="shared" si="59"/>
        <v>Tuesday</v>
      </c>
    </row>
    <row r="959" spans="1:21" x14ac:dyDescent="0.2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4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  <c r="R959" s="6">
        <f t="shared" si="56"/>
        <v>276.12</v>
      </c>
      <c r="S959" t="str">
        <f t="shared" si="57"/>
        <v>July</v>
      </c>
      <c r="T959">
        <f t="shared" si="58"/>
        <v>7</v>
      </c>
      <c r="U959" t="str">
        <f t="shared" si="59"/>
        <v>Tuesday</v>
      </c>
    </row>
    <row r="960" spans="1:21" x14ac:dyDescent="0.2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4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  <c r="R960" s="6">
        <f t="shared" si="56"/>
        <v>158</v>
      </c>
      <c r="S960" t="str">
        <f t="shared" si="57"/>
        <v>September</v>
      </c>
      <c r="T960">
        <f t="shared" si="58"/>
        <v>9</v>
      </c>
      <c r="U960" t="str">
        <f t="shared" si="59"/>
        <v>Sunday</v>
      </c>
    </row>
    <row r="961" spans="1:21" x14ac:dyDescent="0.2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4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  <c r="R961" s="6">
        <f t="shared" si="56"/>
        <v>887.93999999999994</v>
      </c>
      <c r="S961" t="str">
        <f t="shared" si="57"/>
        <v>February</v>
      </c>
      <c r="T961">
        <f t="shared" si="58"/>
        <v>2</v>
      </c>
      <c r="U961" t="str">
        <f t="shared" si="59"/>
        <v>Tuesday</v>
      </c>
    </row>
    <row r="962" spans="1:21" x14ac:dyDescent="0.2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4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  <c r="R962" s="6">
        <f t="shared" si="56"/>
        <v>91.98</v>
      </c>
      <c r="S962" t="str">
        <f t="shared" si="57"/>
        <v>March</v>
      </c>
      <c r="T962">
        <f t="shared" si="58"/>
        <v>3</v>
      </c>
      <c r="U962" t="str">
        <f t="shared" si="59"/>
        <v>Monday</v>
      </c>
    </row>
    <row r="963" spans="1:21" x14ac:dyDescent="0.2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4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  <c r="R963" s="6">
        <f t="shared" ref="R963:R1001" si="60">H963*G963</f>
        <v>41.78</v>
      </c>
      <c r="S963" t="str">
        <f t="shared" ref="S963:S1001" si="61">TEXT(K963,"mmmm")</f>
        <v>May</v>
      </c>
      <c r="T963">
        <f t="shared" ref="T963:T969" si="62">MONTH(K963)</f>
        <v>5</v>
      </c>
      <c r="U963" t="str">
        <f t="shared" ref="U963:U1001" si="63">TEXT(K963,"dddd")</f>
        <v>Thursday</v>
      </c>
    </row>
    <row r="964" spans="1:21" x14ac:dyDescent="0.2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4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  <c r="R964" s="6">
        <f t="shared" si="60"/>
        <v>15.5</v>
      </c>
      <c r="S964" t="str">
        <f t="shared" si="61"/>
        <v>March</v>
      </c>
      <c r="T964">
        <f t="shared" si="62"/>
        <v>3</v>
      </c>
      <c r="U964" t="str">
        <f t="shared" si="63"/>
        <v>Tuesday</v>
      </c>
    </row>
    <row r="965" spans="1:21" x14ac:dyDescent="0.2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4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  <c r="R965" s="6">
        <f t="shared" si="60"/>
        <v>290.45999999999998</v>
      </c>
      <c r="S965" t="str">
        <f t="shared" si="61"/>
        <v>March</v>
      </c>
      <c r="T965">
        <f t="shared" si="62"/>
        <v>3</v>
      </c>
      <c r="U965" t="str">
        <f t="shared" si="63"/>
        <v>Saturday</v>
      </c>
    </row>
    <row r="966" spans="1:21" x14ac:dyDescent="0.2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4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  <c r="R966" s="6">
        <f t="shared" si="60"/>
        <v>66.66</v>
      </c>
      <c r="S966" t="str">
        <f t="shared" si="61"/>
        <v>January</v>
      </c>
      <c r="T966">
        <f t="shared" si="62"/>
        <v>1</v>
      </c>
      <c r="U966" t="str">
        <f t="shared" si="63"/>
        <v>Saturday</v>
      </c>
    </row>
    <row r="967" spans="1:21" x14ac:dyDescent="0.2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4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  <c r="R967" s="6">
        <f t="shared" si="60"/>
        <v>76.540000000000006</v>
      </c>
      <c r="S967" t="str">
        <f t="shared" si="61"/>
        <v>February</v>
      </c>
      <c r="T967">
        <f t="shared" si="62"/>
        <v>2</v>
      </c>
      <c r="U967" t="str">
        <f t="shared" si="63"/>
        <v>Sunday</v>
      </c>
    </row>
    <row r="968" spans="1:21" x14ac:dyDescent="0.2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4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  <c r="R968" s="6">
        <f t="shared" si="60"/>
        <v>299.7</v>
      </c>
      <c r="S968" t="str">
        <f t="shared" si="61"/>
        <v>April</v>
      </c>
      <c r="T968">
        <f t="shared" si="62"/>
        <v>4</v>
      </c>
      <c r="U968" t="str">
        <f t="shared" si="63"/>
        <v>Wednesday</v>
      </c>
    </row>
    <row r="969" spans="1:21" x14ac:dyDescent="0.2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4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  <c r="R969" s="6">
        <f t="shared" si="60"/>
        <v>243.03000000000003</v>
      </c>
      <c r="S969" t="str">
        <f t="shared" si="61"/>
        <v>January</v>
      </c>
      <c r="T969">
        <f t="shared" si="62"/>
        <v>1</v>
      </c>
      <c r="U969" t="str">
        <f t="shared" si="63"/>
        <v>Sunday</v>
      </c>
    </row>
    <row r="970" spans="1:21" x14ac:dyDescent="0.2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4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  <c r="R970" s="6">
        <f t="shared" si="60"/>
        <v>47.400000000000006</v>
      </c>
      <c r="S970" t="str">
        <f t="shared" si="61"/>
        <v>March</v>
      </c>
      <c r="T970">
        <f>MONTH(K970)</f>
        <v>3</v>
      </c>
      <c r="U970" t="str">
        <f t="shared" si="63"/>
        <v>Monday</v>
      </c>
    </row>
    <row r="971" spans="1:21" x14ac:dyDescent="0.2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4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  <c r="R971" s="6">
        <f t="shared" si="60"/>
        <v>172.45000000000002</v>
      </c>
      <c r="S971" t="str">
        <f t="shared" si="61"/>
        <v>November</v>
      </c>
      <c r="T971">
        <f t="shared" ref="T971:T1001" si="64">MONTH(K971)</f>
        <v>11</v>
      </c>
      <c r="U971" t="str">
        <f t="shared" si="63"/>
        <v>Sunday</v>
      </c>
    </row>
    <row r="972" spans="1:21" x14ac:dyDescent="0.2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4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  <c r="R972" s="6">
        <f t="shared" si="60"/>
        <v>846.3</v>
      </c>
      <c r="S972" t="str">
        <f t="shared" si="61"/>
        <v>January</v>
      </c>
      <c r="T972">
        <f t="shared" si="64"/>
        <v>1</v>
      </c>
      <c r="U972" t="str">
        <f t="shared" si="63"/>
        <v>Tuesday</v>
      </c>
    </row>
    <row r="973" spans="1:21" x14ac:dyDescent="0.2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4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  <c r="R973" s="6">
        <f t="shared" si="60"/>
        <v>258.37</v>
      </c>
      <c r="S973" t="str">
        <f t="shared" si="61"/>
        <v>October</v>
      </c>
      <c r="T973">
        <f t="shared" si="64"/>
        <v>10</v>
      </c>
      <c r="U973" t="str">
        <f t="shared" si="63"/>
        <v>Wednesday</v>
      </c>
    </row>
    <row r="974" spans="1:21" x14ac:dyDescent="0.2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4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  <c r="R974" s="6">
        <f t="shared" si="60"/>
        <v>609.55999999999995</v>
      </c>
      <c r="S974" t="str">
        <f t="shared" si="61"/>
        <v>January</v>
      </c>
      <c r="T974">
        <f t="shared" si="64"/>
        <v>1</v>
      </c>
      <c r="U974" t="str">
        <f t="shared" si="63"/>
        <v>Saturday</v>
      </c>
    </row>
    <row r="975" spans="1:21" x14ac:dyDescent="0.2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4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  <c r="R975" s="6">
        <f t="shared" si="60"/>
        <v>240.24</v>
      </c>
      <c r="S975" t="str">
        <f t="shared" si="61"/>
        <v>November</v>
      </c>
      <c r="T975">
        <f t="shared" si="64"/>
        <v>11</v>
      </c>
      <c r="U975" t="str">
        <f t="shared" si="63"/>
        <v>Saturday</v>
      </c>
    </row>
    <row r="976" spans="1:21" x14ac:dyDescent="0.2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4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  <c r="R976" s="6">
        <f t="shared" si="60"/>
        <v>172.26</v>
      </c>
      <c r="S976" t="str">
        <f t="shared" si="61"/>
        <v>July</v>
      </c>
      <c r="T976">
        <f t="shared" si="64"/>
        <v>7</v>
      </c>
      <c r="U976" t="str">
        <f t="shared" si="63"/>
        <v>Tuesday</v>
      </c>
    </row>
    <row r="977" spans="1:21" x14ac:dyDescent="0.2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4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  <c r="R977" s="6">
        <f t="shared" si="60"/>
        <v>99.84</v>
      </c>
      <c r="S977" t="str">
        <f t="shared" si="61"/>
        <v>June</v>
      </c>
      <c r="T977">
        <f t="shared" si="64"/>
        <v>6</v>
      </c>
      <c r="U977" t="str">
        <f t="shared" si="63"/>
        <v>Monday</v>
      </c>
    </row>
    <row r="978" spans="1:21" x14ac:dyDescent="0.2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4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  <c r="R978" s="6">
        <f t="shared" si="60"/>
        <v>298.64</v>
      </c>
      <c r="S978" t="str">
        <f t="shared" si="61"/>
        <v>April</v>
      </c>
      <c r="T978">
        <f t="shared" si="64"/>
        <v>4</v>
      </c>
      <c r="U978" t="str">
        <f t="shared" si="63"/>
        <v>Wednesday</v>
      </c>
    </row>
    <row r="979" spans="1:21" x14ac:dyDescent="0.2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4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  <c r="R979" s="6">
        <f t="shared" si="60"/>
        <v>159.60000000000002</v>
      </c>
      <c r="S979" t="str">
        <f t="shared" si="61"/>
        <v>February</v>
      </c>
      <c r="T979">
        <f t="shared" si="64"/>
        <v>2</v>
      </c>
      <c r="U979" t="str">
        <f t="shared" si="63"/>
        <v>Tuesday</v>
      </c>
    </row>
    <row r="980" spans="1:21" x14ac:dyDescent="0.2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4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  <c r="R980" s="6">
        <f t="shared" si="60"/>
        <v>25.45</v>
      </c>
      <c r="S980" t="str">
        <f t="shared" si="61"/>
        <v>October</v>
      </c>
      <c r="T980">
        <f t="shared" si="64"/>
        <v>10</v>
      </c>
      <c r="U980" t="str">
        <f t="shared" si="63"/>
        <v>Thursday</v>
      </c>
    </row>
    <row r="981" spans="1:21" x14ac:dyDescent="0.2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4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  <c r="R981" s="6">
        <f t="shared" si="60"/>
        <v>67.77</v>
      </c>
      <c r="S981" t="str">
        <f t="shared" si="61"/>
        <v>April</v>
      </c>
      <c r="T981">
        <f t="shared" si="64"/>
        <v>4</v>
      </c>
      <c r="U981" t="str">
        <f t="shared" si="63"/>
        <v>Tuesday</v>
      </c>
    </row>
    <row r="982" spans="1:21" x14ac:dyDescent="0.2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4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  <c r="R982" s="6">
        <f t="shared" si="60"/>
        <v>238.36</v>
      </c>
      <c r="S982" t="str">
        <f t="shared" si="61"/>
        <v>January</v>
      </c>
      <c r="T982">
        <f t="shared" si="64"/>
        <v>1</v>
      </c>
      <c r="U982" t="str">
        <f t="shared" si="63"/>
        <v>Saturday</v>
      </c>
    </row>
    <row r="983" spans="1:21" x14ac:dyDescent="0.2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4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  <c r="R983" s="6">
        <f t="shared" si="60"/>
        <v>232.6</v>
      </c>
      <c r="S983" t="str">
        <f t="shared" si="61"/>
        <v>January</v>
      </c>
      <c r="T983">
        <f t="shared" si="64"/>
        <v>1</v>
      </c>
      <c r="U983" t="str">
        <f t="shared" si="63"/>
        <v>Wednesday</v>
      </c>
    </row>
    <row r="984" spans="1:21" x14ac:dyDescent="0.2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4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  <c r="R984" s="6">
        <f t="shared" si="60"/>
        <v>877.32</v>
      </c>
      <c r="S984" t="str">
        <f t="shared" si="61"/>
        <v>March</v>
      </c>
      <c r="T984">
        <f t="shared" si="64"/>
        <v>3</v>
      </c>
      <c r="U984" t="str">
        <f t="shared" si="63"/>
        <v>Thursday</v>
      </c>
    </row>
    <row r="985" spans="1:21" x14ac:dyDescent="0.2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4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  <c r="R985" s="6">
        <f t="shared" si="60"/>
        <v>699.71999999999991</v>
      </c>
      <c r="S985" t="str">
        <f t="shared" si="61"/>
        <v>January</v>
      </c>
      <c r="T985">
        <f t="shared" si="64"/>
        <v>1</v>
      </c>
      <c r="U985" t="str">
        <f t="shared" si="63"/>
        <v>Wednesday</v>
      </c>
    </row>
    <row r="986" spans="1:21" x14ac:dyDescent="0.2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4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  <c r="R986" s="6">
        <f t="shared" si="60"/>
        <v>674.59</v>
      </c>
      <c r="S986" t="str">
        <f t="shared" si="61"/>
        <v>September</v>
      </c>
      <c r="T986">
        <f t="shared" si="64"/>
        <v>9</v>
      </c>
      <c r="U986" t="str">
        <f t="shared" si="63"/>
        <v>Sunday</v>
      </c>
    </row>
    <row r="987" spans="1:21" x14ac:dyDescent="0.2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4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  <c r="R987" s="6">
        <f t="shared" si="60"/>
        <v>318.55</v>
      </c>
      <c r="S987" t="str">
        <f t="shared" si="61"/>
        <v>July</v>
      </c>
      <c r="T987">
        <f t="shared" si="64"/>
        <v>7</v>
      </c>
      <c r="U987" t="str">
        <f t="shared" si="63"/>
        <v>Tuesday</v>
      </c>
    </row>
    <row r="988" spans="1:21" x14ac:dyDescent="0.2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4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  <c r="R988" s="6">
        <f t="shared" si="60"/>
        <v>29.52</v>
      </c>
      <c r="S988" t="str">
        <f t="shared" si="61"/>
        <v>February</v>
      </c>
      <c r="T988">
        <f t="shared" si="64"/>
        <v>2</v>
      </c>
      <c r="U988" t="str">
        <f t="shared" si="63"/>
        <v>Monday</v>
      </c>
    </row>
    <row r="989" spans="1:21" x14ac:dyDescent="0.2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4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  <c r="R989" s="6">
        <f t="shared" si="60"/>
        <v>496</v>
      </c>
      <c r="S989" t="str">
        <f t="shared" si="61"/>
        <v>March</v>
      </c>
      <c r="T989">
        <f t="shared" si="64"/>
        <v>3</v>
      </c>
      <c r="U989" t="str">
        <f t="shared" si="63"/>
        <v>Friday</v>
      </c>
    </row>
    <row r="990" spans="1:21" x14ac:dyDescent="0.2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4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  <c r="R990" s="6">
        <f t="shared" si="60"/>
        <v>823.40000000000009</v>
      </c>
      <c r="S990" t="str">
        <f t="shared" si="61"/>
        <v>March</v>
      </c>
      <c r="T990">
        <f t="shared" si="64"/>
        <v>3</v>
      </c>
      <c r="U990" t="str">
        <f t="shared" si="63"/>
        <v>Friday</v>
      </c>
    </row>
    <row r="991" spans="1:21" x14ac:dyDescent="0.2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4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  <c r="R991" s="6">
        <f t="shared" si="60"/>
        <v>602.96</v>
      </c>
      <c r="S991" t="str">
        <f t="shared" si="61"/>
        <v>January</v>
      </c>
      <c r="T991">
        <f t="shared" si="64"/>
        <v>1</v>
      </c>
      <c r="U991" t="str">
        <f t="shared" si="63"/>
        <v>Monday</v>
      </c>
    </row>
    <row r="992" spans="1:21" x14ac:dyDescent="0.2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4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  <c r="R992" s="6">
        <f t="shared" si="60"/>
        <v>282.8</v>
      </c>
      <c r="S992" t="str">
        <f t="shared" si="61"/>
        <v>March</v>
      </c>
      <c r="T992">
        <f t="shared" si="64"/>
        <v>3</v>
      </c>
      <c r="U992" t="str">
        <f t="shared" si="63"/>
        <v>Friday</v>
      </c>
    </row>
    <row r="993" spans="1:21" x14ac:dyDescent="0.2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4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  <c r="R993" s="6">
        <f t="shared" si="60"/>
        <v>766</v>
      </c>
      <c r="S993" t="str">
        <f t="shared" si="61"/>
        <v>January</v>
      </c>
      <c r="T993">
        <f t="shared" si="64"/>
        <v>1</v>
      </c>
      <c r="U993" t="str">
        <f t="shared" si="63"/>
        <v>Thursday</v>
      </c>
    </row>
    <row r="994" spans="1:21" x14ac:dyDescent="0.2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4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  <c r="R994" s="6">
        <f t="shared" si="60"/>
        <v>116.06</v>
      </c>
      <c r="S994" t="str">
        <f t="shared" si="61"/>
        <v>October</v>
      </c>
      <c r="T994">
        <f t="shared" si="64"/>
        <v>10</v>
      </c>
      <c r="U994" t="str">
        <f t="shared" si="63"/>
        <v>Thursday</v>
      </c>
    </row>
    <row r="995" spans="1:21" x14ac:dyDescent="0.2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4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  <c r="R995" s="6">
        <f t="shared" si="60"/>
        <v>174.89999999999998</v>
      </c>
      <c r="S995" t="str">
        <f t="shared" si="61"/>
        <v>February</v>
      </c>
      <c r="T995">
        <f t="shared" si="64"/>
        <v>2</v>
      </c>
      <c r="U995" t="str">
        <f t="shared" si="63"/>
        <v>Friday</v>
      </c>
    </row>
    <row r="996" spans="1:21" x14ac:dyDescent="0.2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4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  <c r="R996" s="6">
        <f t="shared" si="60"/>
        <v>60.95</v>
      </c>
      <c r="S996" t="str">
        <f t="shared" si="61"/>
        <v>February</v>
      </c>
      <c r="T996">
        <f t="shared" si="64"/>
        <v>2</v>
      </c>
      <c r="U996" t="str">
        <f t="shared" si="63"/>
        <v>Monday</v>
      </c>
    </row>
    <row r="997" spans="1:21" x14ac:dyDescent="0.2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4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  <c r="R997" s="6">
        <f t="shared" si="60"/>
        <v>40.35</v>
      </c>
      <c r="S997" t="str">
        <f t="shared" si="61"/>
        <v>January</v>
      </c>
      <c r="T997">
        <f t="shared" si="64"/>
        <v>1</v>
      </c>
      <c r="U997" t="str">
        <f t="shared" si="63"/>
        <v>Tuesday</v>
      </c>
    </row>
    <row r="998" spans="1:21" x14ac:dyDescent="0.2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4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  <c r="R998" s="6">
        <f t="shared" si="60"/>
        <v>973.8</v>
      </c>
      <c r="S998" t="str">
        <f t="shared" si="61"/>
        <v>February</v>
      </c>
      <c r="T998">
        <f t="shared" si="64"/>
        <v>2</v>
      </c>
      <c r="U998" t="str">
        <f t="shared" si="63"/>
        <v>Sunday</v>
      </c>
    </row>
    <row r="999" spans="1:21" x14ac:dyDescent="0.2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4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  <c r="R999" s="6">
        <f t="shared" si="60"/>
        <v>31.84</v>
      </c>
      <c r="S999" t="str">
        <f t="shared" si="61"/>
        <v>September</v>
      </c>
      <c r="T999">
        <f t="shared" si="64"/>
        <v>9</v>
      </c>
      <c r="U999" t="str">
        <f t="shared" si="63"/>
        <v>Monday</v>
      </c>
    </row>
    <row r="1000" spans="1:21" x14ac:dyDescent="0.2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4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  <c r="R1000" s="6">
        <f t="shared" si="60"/>
        <v>65.819999999999993</v>
      </c>
      <c r="S1000" t="str">
        <f t="shared" si="61"/>
        <v>February</v>
      </c>
      <c r="T1000">
        <f t="shared" si="64"/>
        <v>2</v>
      </c>
      <c r="U1000" t="str">
        <f t="shared" si="63"/>
        <v>Friday</v>
      </c>
    </row>
    <row r="1001" spans="1:21" x14ac:dyDescent="0.2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4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  <c r="R1001" s="6">
        <f t="shared" si="60"/>
        <v>618.38</v>
      </c>
      <c r="S1001" t="str">
        <f t="shared" si="61"/>
        <v>February</v>
      </c>
      <c r="T1001">
        <f t="shared" si="64"/>
        <v>2</v>
      </c>
      <c r="U1001" t="str">
        <f t="shared" si="63"/>
        <v>Monday</v>
      </c>
    </row>
  </sheetData>
  <autoFilter ref="A1:U1001" xr:uid="{DE845C9E-2F69-F24E-8342-2FC91CD50792}"/>
  <phoneticPr fontId="18" type="noConversion"/>
  <conditionalFormatting sqref="K1004:K1048576 K1:K1002">
    <cfRule type="containsText" dxfId="76" priority="1" operator="containsText" text="/">
      <formula>NOT(ISERROR(SEARCH("/",K1)))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6947-4604-1F4E-B87D-B65D38BF22BD}">
  <dimension ref="A3:B6"/>
  <sheetViews>
    <sheetView tabSelected="1" workbookViewId="0">
      <selection activeCell="O28" sqref="O28"/>
    </sheetView>
  </sheetViews>
  <sheetFormatPr baseColWidth="10" defaultRowHeight="16" x14ac:dyDescent="0.2"/>
  <cols>
    <col min="1" max="1" width="13" bestFit="1" customWidth="1"/>
    <col min="2" max="2" width="17.33203125" style="6" bestFit="1" customWidth="1"/>
  </cols>
  <sheetData>
    <row r="3" spans="1:2" x14ac:dyDescent="0.2">
      <c r="A3" s="2" t="s">
        <v>1040</v>
      </c>
      <c r="B3" s="6" t="s">
        <v>1062</v>
      </c>
    </row>
    <row r="4" spans="1:2" x14ac:dyDescent="0.2">
      <c r="A4" s="3" t="s">
        <v>20</v>
      </c>
      <c r="B4" s="6">
        <v>319.75518584070778</v>
      </c>
    </row>
    <row r="5" spans="1:2" x14ac:dyDescent="0.2">
      <c r="A5" s="3" t="s">
        <v>27</v>
      </c>
      <c r="B5" s="6">
        <v>291.78321839080468</v>
      </c>
    </row>
    <row r="6" spans="1:2" x14ac:dyDescent="0.2">
      <c r="A6" s="3" t="s">
        <v>1053</v>
      </c>
      <c r="B6" s="6">
        <v>307.58737999999994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1470-7BEC-C341-9AAF-7EDFD2B027B8}">
  <dimension ref="A3:B15"/>
  <sheetViews>
    <sheetView workbookViewId="0">
      <selection activeCell="B1" sqref="B1:B1048576"/>
    </sheetView>
  </sheetViews>
  <sheetFormatPr baseColWidth="10" defaultRowHeight="16" x14ac:dyDescent="0.2"/>
  <cols>
    <col min="1" max="1" width="13" bestFit="1" customWidth="1"/>
    <col min="2" max="2" width="14.6640625" style="6" bestFit="1" customWidth="1"/>
  </cols>
  <sheetData>
    <row r="3" spans="1:2" x14ac:dyDescent="0.2">
      <c r="A3" s="2" t="s">
        <v>1040</v>
      </c>
      <c r="B3" s="6" t="s">
        <v>1054</v>
      </c>
    </row>
    <row r="4" spans="1:2" x14ac:dyDescent="0.2">
      <c r="A4" s="3" t="s">
        <v>1063</v>
      </c>
      <c r="B4" s="6">
        <v>29925.22</v>
      </c>
    </row>
    <row r="5" spans="1:2" x14ac:dyDescent="0.2">
      <c r="A5" s="3" t="s">
        <v>1064</v>
      </c>
      <c r="B5" s="6">
        <v>28930.790000000008</v>
      </c>
    </row>
    <row r="6" spans="1:2" x14ac:dyDescent="0.2">
      <c r="A6" s="3" t="s">
        <v>1065</v>
      </c>
      <c r="B6" s="6">
        <v>24824.649999999994</v>
      </c>
    </row>
    <row r="7" spans="1:2" x14ac:dyDescent="0.2">
      <c r="A7" s="3" t="s">
        <v>1066</v>
      </c>
      <c r="B7" s="6">
        <v>33069.740000000005</v>
      </c>
    </row>
    <row r="8" spans="1:2" x14ac:dyDescent="0.2">
      <c r="A8" s="3" t="s">
        <v>1067</v>
      </c>
      <c r="B8" s="6">
        <v>29360.380000000008</v>
      </c>
    </row>
    <row r="9" spans="1:2" x14ac:dyDescent="0.2">
      <c r="A9" s="3" t="s">
        <v>1068</v>
      </c>
      <c r="B9" s="6">
        <v>29694.770000000008</v>
      </c>
    </row>
    <row r="10" spans="1:2" x14ac:dyDescent="0.2">
      <c r="A10" s="3" t="s">
        <v>1069</v>
      </c>
      <c r="B10" s="6">
        <v>24025.070000000007</v>
      </c>
    </row>
    <row r="11" spans="1:2" x14ac:dyDescent="0.2">
      <c r="A11" s="3" t="s">
        <v>1070</v>
      </c>
      <c r="B11" s="6">
        <v>23281.160000000003</v>
      </c>
    </row>
    <row r="12" spans="1:2" x14ac:dyDescent="0.2">
      <c r="A12" s="3" t="s">
        <v>1071</v>
      </c>
      <c r="B12" s="6">
        <v>24790.800000000007</v>
      </c>
    </row>
    <row r="13" spans="1:2" x14ac:dyDescent="0.2">
      <c r="A13" s="3" t="s">
        <v>1072</v>
      </c>
      <c r="B13" s="6">
        <v>37809.060000000005</v>
      </c>
    </row>
    <row r="14" spans="1:2" x14ac:dyDescent="0.2">
      <c r="A14" s="3" t="s">
        <v>1073</v>
      </c>
      <c r="B14" s="6">
        <v>21875.740000000005</v>
      </c>
    </row>
    <row r="15" spans="1:2" x14ac:dyDescent="0.2">
      <c r="A15" s="3" t="s">
        <v>1053</v>
      </c>
      <c r="B15" s="6">
        <v>307587.38000000006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759D-E02D-F245-AC50-D9499CAA6A48}">
  <dimension ref="A3:B16"/>
  <sheetViews>
    <sheetView workbookViewId="0">
      <selection activeCell="M33" sqref="M33"/>
    </sheetView>
  </sheetViews>
  <sheetFormatPr baseColWidth="10" defaultRowHeight="16" x14ac:dyDescent="0.2"/>
  <cols>
    <col min="1" max="1" width="13" bestFit="1" customWidth="1"/>
    <col min="2" max="2" width="14.6640625" style="6" bestFit="1" customWidth="1"/>
  </cols>
  <sheetData>
    <row r="3" spans="1:2" x14ac:dyDescent="0.2">
      <c r="A3" s="2" t="s">
        <v>1040</v>
      </c>
      <c r="B3" s="6" t="s">
        <v>1054</v>
      </c>
    </row>
    <row r="4" spans="1:2" x14ac:dyDescent="0.2">
      <c r="A4" s="3" t="s">
        <v>1041</v>
      </c>
      <c r="B4" s="6">
        <v>82353.490000000093</v>
      </c>
    </row>
    <row r="5" spans="1:2" x14ac:dyDescent="0.2">
      <c r="A5" s="3" t="s">
        <v>1042</v>
      </c>
      <c r="B5" s="6">
        <v>60248.709999999985</v>
      </c>
    </row>
    <row r="6" spans="1:2" x14ac:dyDescent="0.2">
      <c r="A6" s="3" t="s">
        <v>1043</v>
      </c>
      <c r="B6" s="6">
        <v>69285</v>
      </c>
    </row>
    <row r="7" spans="1:2" x14ac:dyDescent="0.2">
      <c r="A7" s="3" t="s">
        <v>1044</v>
      </c>
      <c r="B7" s="6">
        <v>7578.6900000000005</v>
      </c>
    </row>
    <row r="8" spans="1:2" x14ac:dyDescent="0.2">
      <c r="A8" s="3" t="s">
        <v>1045</v>
      </c>
      <c r="B8" s="6">
        <v>12189.230000000001</v>
      </c>
    </row>
    <row r="9" spans="1:2" x14ac:dyDescent="0.2">
      <c r="A9" s="3" t="s">
        <v>1046</v>
      </c>
      <c r="B9" s="6">
        <v>9154.5</v>
      </c>
    </row>
    <row r="10" spans="1:2" x14ac:dyDescent="0.2">
      <c r="A10" s="3" t="s">
        <v>1047</v>
      </c>
      <c r="B10" s="6">
        <v>10953.060000000001</v>
      </c>
    </row>
    <row r="11" spans="1:2" x14ac:dyDescent="0.2">
      <c r="A11" s="3" t="s">
        <v>1048</v>
      </c>
      <c r="B11" s="6">
        <v>12860.740000000003</v>
      </c>
    </row>
    <row r="12" spans="1:2" x14ac:dyDescent="0.2">
      <c r="A12" s="3" t="s">
        <v>1049</v>
      </c>
      <c r="B12" s="6">
        <v>13111.699999999999</v>
      </c>
    </row>
    <row r="13" spans="1:2" x14ac:dyDescent="0.2">
      <c r="A13" s="3" t="s">
        <v>1050</v>
      </c>
      <c r="B13" s="6">
        <v>9395.4300000000021</v>
      </c>
    </row>
    <row r="14" spans="1:2" x14ac:dyDescent="0.2">
      <c r="A14" s="3" t="s">
        <v>1051</v>
      </c>
      <c r="B14" s="6">
        <v>9160.35</v>
      </c>
    </row>
    <row r="15" spans="1:2" x14ac:dyDescent="0.2">
      <c r="A15" s="3" t="s">
        <v>1052</v>
      </c>
      <c r="B15" s="6">
        <v>11296.480000000001</v>
      </c>
    </row>
    <row r="16" spans="1:2" x14ac:dyDescent="0.2">
      <c r="A16" s="3" t="s">
        <v>1053</v>
      </c>
      <c r="B16" s="6">
        <v>307587.38000000006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2E4B-B53D-5C40-A620-86C63874C20F}">
  <dimension ref="A3:B10"/>
  <sheetViews>
    <sheetView workbookViewId="0">
      <selection activeCell="Q15" sqref="Q15"/>
    </sheetView>
  </sheetViews>
  <sheetFormatPr baseColWidth="10" defaultRowHeight="16" x14ac:dyDescent="0.2"/>
  <cols>
    <col min="1" max="1" width="19.6640625" bestFit="1" customWidth="1"/>
    <col min="2" max="2" width="14.6640625" style="6" bestFit="1" customWidth="1"/>
  </cols>
  <sheetData>
    <row r="3" spans="1:2" x14ac:dyDescent="0.2">
      <c r="A3" s="2" t="s">
        <v>1040</v>
      </c>
      <c r="B3" s="6" t="s">
        <v>1054</v>
      </c>
    </row>
    <row r="4" spans="1:2" x14ac:dyDescent="0.2">
      <c r="A4" s="5" t="s">
        <v>28</v>
      </c>
      <c r="B4" s="6">
        <v>51750.029999999984</v>
      </c>
    </row>
    <row r="5" spans="1:2" x14ac:dyDescent="0.2">
      <c r="A5" s="5" t="s">
        <v>45</v>
      </c>
      <c r="B5" s="6">
        <v>51719.899999999972</v>
      </c>
    </row>
    <row r="6" spans="1:2" x14ac:dyDescent="0.2">
      <c r="A6" s="5" t="s">
        <v>43</v>
      </c>
      <c r="B6" s="6">
        <v>53471.280000000057</v>
      </c>
    </row>
    <row r="7" spans="1:2" x14ac:dyDescent="0.2">
      <c r="A7" s="5" t="s">
        <v>22</v>
      </c>
      <c r="B7" s="6">
        <v>46851.179999999978</v>
      </c>
    </row>
    <row r="8" spans="1:2" x14ac:dyDescent="0.2">
      <c r="A8" s="5" t="s">
        <v>31</v>
      </c>
      <c r="B8" s="6">
        <v>51297.059999999983</v>
      </c>
    </row>
    <row r="9" spans="1:2" x14ac:dyDescent="0.2">
      <c r="A9" s="5" t="s">
        <v>35</v>
      </c>
      <c r="B9" s="6">
        <v>52497.930000000022</v>
      </c>
    </row>
    <row r="10" spans="1:2" x14ac:dyDescent="0.2">
      <c r="A10" s="3" t="s">
        <v>1053</v>
      </c>
      <c r="B10" s="6">
        <v>307587.38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AAFE-B9F3-054D-9B2D-431627AF85EC}">
  <dimension ref="A3:B7"/>
  <sheetViews>
    <sheetView workbookViewId="0">
      <selection activeCell="N32" sqref="N32"/>
    </sheetView>
  </sheetViews>
  <sheetFormatPr baseColWidth="10" defaultRowHeight="16" x14ac:dyDescent="0.2"/>
  <cols>
    <col min="1" max="1" width="13" bestFit="1" customWidth="1"/>
    <col min="2" max="2" width="14.6640625" style="6" bestFit="1" customWidth="1"/>
  </cols>
  <sheetData>
    <row r="3" spans="1:2" x14ac:dyDescent="0.2">
      <c r="A3" s="2" t="s">
        <v>1040</v>
      </c>
      <c r="B3" s="6" t="s">
        <v>1054</v>
      </c>
    </row>
    <row r="4" spans="1:2" x14ac:dyDescent="0.2">
      <c r="A4" s="3" t="s">
        <v>29</v>
      </c>
      <c r="B4" s="6">
        <v>106863.40000000005</v>
      </c>
    </row>
    <row r="5" spans="1:2" x14ac:dyDescent="0.2">
      <c r="A5" s="3" t="s">
        <v>32</v>
      </c>
      <c r="B5" s="6">
        <v>95968.63999999997</v>
      </c>
    </row>
    <row r="6" spans="1:2" x14ac:dyDescent="0.2">
      <c r="A6" s="3" t="s">
        <v>23</v>
      </c>
      <c r="B6" s="6">
        <v>104755.34</v>
      </c>
    </row>
    <row r="7" spans="1:2" x14ac:dyDescent="0.2">
      <c r="A7" s="3" t="s">
        <v>1053</v>
      </c>
      <c r="B7" s="6">
        <v>307587.38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1352-ECCE-E94F-88DA-2EF67C739658}">
  <dimension ref="A3:B11"/>
  <sheetViews>
    <sheetView workbookViewId="0">
      <selection activeCell="B1" sqref="B1:B1048576"/>
    </sheetView>
  </sheetViews>
  <sheetFormatPr baseColWidth="10" defaultRowHeight="16" x14ac:dyDescent="0.2"/>
  <cols>
    <col min="1" max="1" width="13" bestFit="1" customWidth="1"/>
    <col min="2" max="2" width="14.6640625" style="6" bestFit="1" customWidth="1"/>
  </cols>
  <sheetData>
    <row r="3" spans="1:2" x14ac:dyDescent="0.2">
      <c r="A3" s="2" t="s">
        <v>1040</v>
      </c>
      <c r="B3" s="6" t="s">
        <v>1054</v>
      </c>
    </row>
    <row r="4" spans="1:2" x14ac:dyDescent="0.2">
      <c r="A4" s="3" t="s">
        <v>1055</v>
      </c>
      <c r="B4" s="6">
        <v>33292.860000000015</v>
      </c>
    </row>
    <row r="5" spans="1:2" x14ac:dyDescent="0.2">
      <c r="A5" s="3" t="s">
        <v>1056</v>
      </c>
      <c r="B5" s="6">
        <v>52028.780000000013</v>
      </c>
    </row>
    <row r="6" spans="1:2" x14ac:dyDescent="0.2">
      <c r="A6" s="3" t="s">
        <v>1057</v>
      </c>
      <c r="B6" s="6">
        <v>44972.579999999965</v>
      </c>
    </row>
    <row r="7" spans="1:2" x14ac:dyDescent="0.2">
      <c r="A7" s="3" t="s">
        <v>1058</v>
      </c>
      <c r="B7" s="6">
        <v>43102.439999999995</v>
      </c>
    </row>
    <row r="8" spans="1:2" x14ac:dyDescent="0.2">
      <c r="A8" s="3" t="s">
        <v>1059</v>
      </c>
      <c r="B8" s="6">
        <v>42240.829999999994</v>
      </c>
    </row>
    <row r="9" spans="1:2" x14ac:dyDescent="0.2">
      <c r="A9" s="3" t="s">
        <v>1060</v>
      </c>
      <c r="B9" s="6">
        <v>44612.179999999993</v>
      </c>
    </row>
    <row r="10" spans="1:2" x14ac:dyDescent="0.2">
      <c r="A10" s="3" t="s">
        <v>1061</v>
      </c>
      <c r="B10" s="6">
        <v>47337.709999999977</v>
      </c>
    </row>
    <row r="11" spans="1:2" x14ac:dyDescent="0.2">
      <c r="A11" s="3" t="s">
        <v>1053</v>
      </c>
      <c r="B11" s="6">
        <v>307587.37999999995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A88B-F5CF-7841-9355-CEEA0D6EE81C}">
  <dimension ref="A3:B7"/>
  <sheetViews>
    <sheetView workbookViewId="0">
      <selection activeCell="N28" sqref="N28"/>
    </sheetView>
  </sheetViews>
  <sheetFormatPr baseColWidth="10" defaultRowHeight="16" x14ac:dyDescent="0.2"/>
  <cols>
    <col min="1" max="1" width="13" bestFit="1" customWidth="1"/>
    <col min="2" max="2" width="14.6640625" style="6" bestFit="1" customWidth="1"/>
  </cols>
  <sheetData>
    <row r="3" spans="1:2" x14ac:dyDescent="0.2">
      <c r="A3" s="2" t="s">
        <v>1040</v>
      </c>
      <c r="B3" s="6" t="s">
        <v>1054</v>
      </c>
    </row>
    <row r="4" spans="1:2" x14ac:dyDescent="0.2">
      <c r="A4" s="3" t="s">
        <v>18</v>
      </c>
      <c r="B4" s="6">
        <v>101143.21000000006</v>
      </c>
    </row>
    <row r="5" spans="1:2" x14ac:dyDescent="0.2">
      <c r="A5" s="3" t="s">
        <v>41</v>
      </c>
      <c r="B5" s="6">
        <v>101140.63999999993</v>
      </c>
    </row>
    <row r="6" spans="1:2" x14ac:dyDescent="0.2">
      <c r="A6" s="3" t="s">
        <v>25</v>
      </c>
      <c r="B6" s="6">
        <v>105303.53</v>
      </c>
    </row>
    <row r="7" spans="1:2" x14ac:dyDescent="0.2">
      <c r="A7" s="3" t="s">
        <v>1053</v>
      </c>
      <c r="B7" s="6">
        <v>307587.38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SuperMarket Analysis</vt:lpstr>
      <vt:lpstr>Average Spend by Customer</vt:lpstr>
      <vt:lpstr>Revenue by Hour</vt:lpstr>
      <vt:lpstr>Revenue by Month</vt:lpstr>
      <vt:lpstr>Revenue by Product Line</vt:lpstr>
      <vt:lpstr>Revenue by Payment</vt:lpstr>
      <vt:lpstr>Revenue by Day</vt:lpstr>
      <vt:lpstr>Revenue by Branch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UG-Ebrahimoff, Solomon</dc:creator>
  <cp:lastModifiedBy>UG-Ebrahimoff, Solomon</cp:lastModifiedBy>
  <dcterms:created xsi:type="dcterms:W3CDTF">2025-12-04T14:26:27Z</dcterms:created>
  <dcterms:modified xsi:type="dcterms:W3CDTF">2025-12-10T19:06:32Z</dcterms:modified>
</cp:coreProperties>
</file>