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ebrahimoff/Documents/Supermarket_Sales/"/>
    </mc:Choice>
  </mc:AlternateContent>
  <xr:revisionPtr revIDLastSave="0" documentId="8_{B1AD2584-A2E1-1E45-8BE5-B0F90BA0F796}" xr6:coauthVersionLast="47" xr6:coauthVersionMax="47" xr10:uidLastSave="{00000000-0000-0000-0000-000000000000}"/>
  <bookViews>
    <workbookView xWindow="0" yWindow="0" windowWidth="28800" windowHeight="18000" xr2:uid="{B2D5E03B-D8D1-784A-98BB-E7CEF1026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01" i="1" l="1"/>
  <c r="T1001" i="1"/>
  <c r="S1001" i="1"/>
  <c r="R1001" i="1"/>
  <c r="U1000" i="1"/>
  <c r="T1000" i="1"/>
  <c r="S1000" i="1"/>
  <c r="R1000" i="1"/>
  <c r="U999" i="1"/>
  <c r="T999" i="1"/>
  <c r="S999" i="1"/>
  <c r="R999" i="1"/>
  <c r="U998" i="1"/>
  <c r="T998" i="1"/>
  <c r="S998" i="1"/>
  <c r="R998" i="1"/>
  <c r="U997" i="1"/>
  <c r="T997" i="1"/>
  <c r="S997" i="1"/>
  <c r="R997" i="1"/>
  <c r="U996" i="1"/>
  <c r="T996" i="1"/>
  <c r="S996" i="1"/>
  <c r="R996" i="1"/>
  <c r="U995" i="1"/>
  <c r="T995" i="1"/>
  <c r="S995" i="1"/>
  <c r="R995" i="1"/>
  <c r="U994" i="1"/>
  <c r="T994" i="1"/>
  <c r="S994" i="1"/>
  <c r="R994" i="1"/>
  <c r="U993" i="1"/>
  <c r="T993" i="1"/>
  <c r="S993" i="1"/>
  <c r="R993" i="1"/>
  <c r="U992" i="1"/>
  <c r="T992" i="1"/>
  <c r="S992" i="1"/>
  <c r="R992" i="1"/>
  <c r="U991" i="1"/>
  <c r="T991" i="1"/>
  <c r="S991" i="1"/>
  <c r="R991" i="1"/>
  <c r="U990" i="1"/>
  <c r="T990" i="1"/>
  <c r="S990" i="1"/>
  <c r="R990" i="1"/>
  <c r="U989" i="1"/>
  <c r="T989" i="1"/>
  <c r="S989" i="1"/>
  <c r="R989" i="1"/>
  <c r="U988" i="1"/>
  <c r="T988" i="1"/>
  <c r="S988" i="1"/>
  <c r="R988" i="1"/>
  <c r="U987" i="1"/>
  <c r="T987" i="1"/>
  <c r="S987" i="1"/>
  <c r="R987" i="1"/>
  <c r="U986" i="1"/>
  <c r="T986" i="1"/>
  <c r="S986" i="1"/>
  <c r="R986" i="1"/>
  <c r="U985" i="1"/>
  <c r="T985" i="1"/>
  <c r="S985" i="1"/>
  <c r="R985" i="1"/>
  <c r="U984" i="1"/>
  <c r="T984" i="1"/>
  <c r="S984" i="1"/>
  <c r="R984" i="1"/>
  <c r="U983" i="1"/>
  <c r="T983" i="1"/>
  <c r="S983" i="1"/>
  <c r="R983" i="1"/>
  <c r="U982" i="1"/>
  <c r="T982" i="1"/>
  <c r="S982" i="1"/>
  <c r="R982" i="1"/>
  <c r="U981" i="1"/>
  <c r="T981" i="1"/>
  <c r="S981" i="1"/>
  <c r="R981" i="1"/>
  <c r="U980" i="1"/>
  <c r="T980" i="1"/>
  <c r="S980" i="1"/>
  <c r="R980" i="1"/>
  <c r="U979" i="1"/>
  <c r="T979" i="1"/>
  <c r="S979" i="1"/>
  <c r="R979" i="1"/>
  <c r="U978" i="1"/>
  <c r="T978" i="1"/>
  <c r="S978" i="1"/>
  <c r="R978" i="1"/>
  <c r="U977" i="1"/>
  <c r="T977" i="1"/>
  <c r="S977" i="1"/>
  <c r="R977" i="1"/>
  <c r="U976" i="1"/>
  <c r="T976" i="1"/>
  <c r="S976" i="1"/>
  <c r="R976" i="1"/>
  <c r="U975" i="1"/>
  <c r="T975" i="1"/>
  <c r="S975" i="1"/>
  <c r="R975" i="1"/>
  <c r="U974" i="1"/>
  <c r="T974" i="1"/>
  <c r="S974" i="1"/>
  <c r="R974" i="1"/>
  <c r="U973" i="1"/>
  <c r="T973" i="1"/>
  <c r="S973" i="1"/>
  <c r="R973" i="1"/>
  <c r="U972" i="1"/>
  <c r="T972" i="1"/>
  <c r="S972" i="1"/>
  <c r="R972" i="1"/>
  <c r="U971" i="1"/>
  <c r="T971" i="1"/>
  <c r="S971" i="1"/>
  <c r="R971" i="1"/>
  <c r="U970" i="1"/>
  <c r="T970" i="1"/>
  <c r="S970" i="1"/>
  <c r="R970" i="1"/>
  <c r="U969" i="1"/>
  <c r="T969" i="1"/>
  <c r="S969" i="1"/>
  <c r="R969" i="1"/>
  <c r="U968" i="1"/>
  <c r="T968" i="1"/>
  <c r="S968" i="1"/>
  <c r="R968" i="1"/>
  <c r="U967" i="1"/>
  <c r="T967" i="1"/>
  <c r="S967" i="1"/>
  <c r="R967" i="1"/>
  <c r="U966" i="1"/>
  <c r="T966" i="1"/>
  <c r="S966" i="1"/>
  <c r="R966" i="1"/>
  <c r="U965" i="1"/>
  <c r="T965" i="1"/>
  <c r="S965" i="1"/>
  <c r="R965" i="1"/>
  <c r="U964" i="1"/>
  <c r="T964" i="1"/>
  <c r="S964" i="1"/>
  <c r="R964" i="1"/>
  <c r="U963" i="1"/>
  <c r="T963" i="1"/>
  <c r="S963" i="1"/>
  <c r="R963" i="1"/>
  <c r="U962" i="1"/>
  <c r="T962" i="1"/>
  <c r="S962" i="1"/>
  <c r="R962" i="1"/>
  <c r="U961" i="1"/>
  <c r="T961" i="1"/>
  <c r="S961" i="1"/>
  <c r="R961" i="1"/>
  <c r="U960" i="1"/>
  <c r="T960" i="1"/>
  <c r="S960" i="1"/>
  <c r="R960" i="1"/>
  <c r="U959" i="1"/>
  <c r="T959" i="1"/>
  <c r="S959" i="1"/>
  <c r="R959" i="1"/>
  <c r="U958" i="1"/>
  <c r="T958" i="1"/>
  <c r="S958" i="1"/>
  <c r="R958" i="1"/>
  <c r="U957" i="1"/>
  <c r="T957" i="1"/>
  <c r="S957" i="1"/>
  <c r="R957" i="1"/>
  <c r="U956" i="1"/>
  <c r="T956" i="1"/>
  <c r="S956" i="1"/>
  <c r="R956" i="1"/>
  <c r="U955" i="1"/>
  <c r="T955" i="1"/>
  <c r="S955" i="1"/>
  <c r="R955" i="1"/>
  <c r="U954" i="1"/>
  <c r="T954" i="1"/>
  <c r="S954" i="1"/>
  <c r="R954" i="1"/>
  <c r="U953" i="1"/>
  <c r="T953" i="1"/>
  <c r="S953" i="1"/>
  <c r="R953" i="1"/>
  <c r="U952" i="1"/>
  <c r="T952" i="1"/>
  <c r="S952" i="1"/>
  <c r="R952" i="1"/>
  <c r="U951" i="1"/>
  <c r="T951" i="1"/>
  <c r="S951" i="1"/>
  <c r="R951" i="1"/>
  <c r="U950" i="1"/>
  <c r="T950" i="1"/>
  <c r="S950" i="1"/>
  <c r="R950" i="1"/>
  <c r="U949" i="1"/>
  <c r="T949" i="1"/>
  <c r="S949" i="1"/>
  <c r="R949" i="1"/>
  <c r="U948" i="1"/>
  <c r="T948" i="1"/>
  <c r="S948" i="1"/>
  <c r="R948" i="1"/>
  <c r="U947" i="1"/>
  <c r="T947" i="1"/>
  <c r="S947" i="1"/>
  <c r="R947" i="1"/>
  <c r="U946" i="1"/>
  <c r="T946" i="1"/>
  <c r="S946" i="1"/>
  <c r="R946" i="1"/>
  <c r="U945" i="1"/>
  <c r="T945" i="1"/>
  <c r="S945" i="1"/>
  <c r="R945" i="1"/>
  <c r="U944" i="1"/>
  <c r="T944" i="1"/>
  <c r="S944" i="1"/>
  <c r="R944" i="1"/>
  <c r="U943" i="1"/>
  <c r="T943" i="1"/>
  <c r="S943" i="1"/>
  <c r="R943" i="1"/>
  <c r="U942" i="1"/>
  <c r="T942" i="1"/>
  <c r="S942" i="1"/>
  <c r="R942" i="1"/>
  <c r="U941" i="1"/>
  <c r="T941" i="1"/>
  <c r="S941" i="1"/>
  <c r="R941" i="1"/>
  <c r="U940" i="1"/>
  <c r="T940" i="1"/>
  <c r="S940" i="1"/>
  <c r="R940" i="1"/>
  <c r="U939" i="1"/>
  <c r="T939" i="1"/>
  <c r="S939" i="1"/>
  <c r="R939" i="1"/>
  <c r="U938" i="1"/>
  <c r="T938" i="1"/>
  <c r="S938" i="1"/>
  <c r="R938" i="1"/>
  <c r="U937" i="1"/>
  <c r="T937" i="1"/>
  <c r="S937" i="1"/>
  <c r="R937" i="1"/>
  <c r="U936" i="1"/>
  <c r="T936" i="1"/>
  <c r="S936" i="1"/>
  <c r="R936" i="1"/>
  <c r="U935" i="1"/>
  <c r="T935" i="1"/>
  <c r="S935" i="1"/>
  <c r="R935" i="1"/>
  <c r="U934" i="1"/>
  <c r="T934" i="1"/>
  <c r="S934" i="1"/>
  <c r="R934" i="1"/>
  <c r="U933" i="1"/>
  <c r="T933" i="1"/>
  <c r="S933" i="1"/>
  <c r="R933" i="1"/>
  <c r="U932" i="1"/>
  <c r="T932" i="1"/>
  <c r="S932" i="1"/>
  <c r="R932" i="1"/>
  <c r="U931" i="1"/>
  <c r="T931" i="1"/>
  <c r="S931" i="1"/>
  <c r="R931" i="1"/>
  <c r="U930" i="1"/>
  <c r="T930" i="1"/>
  <c r="S930" i="1"/>
  <c r="R930" i="1"/>
  <c r="U929" i="1"/>
  <c r="T929" i="1"/>
  <c r="S929" i="1"/>
  <c r="R929" i="1"/>
  <c r="U928" i="1"/>
  <c r="T928" i="1"/>
  <c r="S928" i="1"/>
  <c r="R928" i="1"/>
  <c r="U927" i="1"/>
  <c r="T927" i="1"/>
  <c r="S927" i="1"/>
  <c r="R927" i="1"/>
  <c r="U926" i="1"/>
  <c r="T926" i="1"/>
  <c r="S926" i="1"/>
  <c r="R926" i="1"/>
  <c r="U925" i="1"/>
  <c r="T925" i="1"/>
  <c r="S925" i="1"/>
  <c r="R925" i="1"/>
  <c r="U924" i="1"/>
  <c r="T924" i="1"/>
  <c r="S924" i="1"/>
  <c r="R924" i="1"/>
  <c r="U923" i="1"/>
  <c r="T923" i="1"/>
  <c r="S923" i="1"/>
  <c r="R923" i="1"/>
  <c r="U922" i="1"/>
  <c r="T922" i="1"/>
  <c r="S922" i="1"/>
  <c r="R922" i="1"/>
  <c r="U921" i="1"/>
  <c r="T921" i="1"/>
  <c r="S921" i="1"/>
  <c r="R921" i="1"/>
  <c r="U920" i="1"/>
  <c r="T920" i="1"/>
  <c r="S920" i="1"/>
  <c r="R920" i="1"/>
  <c r="U919" i="1"/>
  <c r="T919" i="1"/>
  <c r="S919" i="1"/>
  <c r="R919" i="1"/>
  <c r="U918" i="1"/>
  <c r="T918" i="1"/>
  <c r="S918" i="1"/>
  <c r="R918" i="1"/>
  <c r="U917" i="1"/>
  <c r="T917" i="1"/>
  <c r="S917" i="1"/>
  <c r="R917" i="1"/>
  <c r="U916" i="1"/>
  <c r="T916" i="1"/>
  <c r="S916" i="1"/>
  <c r="R916" i="1"/>
  <c r="U915" i="1"/>
  <c r="T915" i="1"/>
  <c r="S915" i="1"/>
  <c r="R915" i="1"/>
  <c r="U914" i="1"/>
  <c r="T914" i="1"/>
  <c r="S914" i="1"/>
  <c r="R914" i="1"/>
  <c r="U913" i="1"/>
  <c r="T913" i="1"/>
  <c r="S913" i="1"/>
  <c r="R913" i="1"/>
  <c r="U912" i="1"/>
  <c r="T912" i="1"/>
  <c r="S912" i="1"/>
  <c r="R912" i="1"/>
  <c r="U911" i="1"/>
  <c r="T911" i="1"/>
  <c r="S911" i="1"/>
  <c r="R911" i="1"/>
  <c r="U910" i="1"/>
  <c r="T910" i="1"/>
  <c r="S910" i="1"/>
  <c r="R910" i="1"/>
  <c r="U909" i="1"/>
  <c r="T909" i="1"/>
  <c r="S909" i="1"/>
  <c r="R909" i="1"/>
  <c r="U908" i="1"/>
  <c r="T908" i="1"/>
  <c r="S908" i="1"/>
  <c r="R908" i="1"/>
  <c r="U907" i="1"/>
  <c r="T907" i="1"/>
  <c r="S907" i="1"/>
  <c r="R907" i="1"/>
  <c r="U906" i="1"/>
  <c r="T906" i="1"/>
  <c r="S906" i="1"/>
  <c r="R906" i="1"/>
  <c r="U905" i="1"/>
  <c r="T905" i="1"/>
  <c r="S905" i="1"/>
  <c r="R905" i="1"/>
  <c r="U904" i="1"/>
  <c r="T904" i="1"/>
  <c r="S904" i="1"/>
  <c r="R904" i="1"/>
  <c r="U903" i="1"/>
  <c r="T903" i="1"/>
  <c r="S903" i="1"/>
  <c r="R903" i="1"/>
  <c r="U902" i="1"/>
  <c r="T902" i="1"/>
  <c r="S902" i="1"/>
  <c r="R902" i="1"/>
  <c r="U901" i="1"/>
  <c r="T901" i="1"/>
  <c r="S901" i="1"/>
  <c r="R901" i="1"/>
  <c r="U900" i="1"/>
  <c r="T900" i="1"/>
  <c r="S900" i="1"/>
  <c r="R900" i="1"/>
  <c r="U899" i="1"/>
  <c r="T899" i="1"/>
  <c r="S899" i="1"/>
  <c r="R899" i="1"/>
  <c r="U898" i="1"/>
  <c r="T898" i="1"/>
  <c r="S898" i="1"/>
  <c r="R898" i="1"/>
  <c r="U897" i="1"/>
  <c r="T897" i="1"/>
  <c r="S897" i="1"/>
  <c r="R897" i="1"/>
  <c r="U896" i="1"/>
  <c r="T896" i="1"/>
  <c r="S896" i="1"/>
  <c r="R896" i="1"/>
  <c r="U895" i="1"/>
  <c r="T895" i="1"/>
  <c r="S895" i="1"/>
  <c r="R895" i="1"/>
  <c r="U894" i="1"/>
  <c r="T894" i="1"/>
  <c r="S894" i="1"/>
  <c r="R894" i="1"/>
  <c r="U893" i="1"/>
  <c r="T893" i="1"/>
  <c r="S893" i="1"/>
  <c r="R893" i="1"/>
  <c r="U892" i="1"/>
  <c r="T892" i="1"/>
  <c r="S892" i="1"/>
  <c r="R892" i="1"/>
  <c r="U891" i="1"/>
  <c r="T891" i="1"/>
  <c r="S891" i="1"/>
  <c r="R891" i="1"/>
  <c r="U890" i="1"/>
  <c r="T890" i="1"/>
  <c r="S890" i="1"/>
  <c r="R890" i="1"/>
  <c r="U889" i="1"/>
  <c r="T889" i="1"/>
  <c r="S889" i="1"/>
  <c r="R889" i="1"/>
  <c r="U888" i="1"/>
  <c r="T888" i="1"/>
  <c r="S888" i="1"/>
  <c r="R888" i="1"/>
  <c r="U887" i="1"/>
  <c r="T887" i="1"/>
  <c r="S887" i="1"/>
  <c r="R887" i="1"/>
  <c r="U886" i="1"/>
  <c r="T886" i="1"/>
  <c r="S886" i="1"/>
  <c r="R886" i="1"/>
  <c r="U885" i="1"/>
  <c r="T885" i="1"/>
  <c r="S885" i="1"/>
  <c r="R885" i="1"/>
  <c r="U884" i="1"/>
  <c r="T884" i="1"/>
  <c r="S884" i="1"/>
  <c r="R884" i="1"/>
  <c r="U883" i="1"/>
  <c r="T883" i="1"/>
  <c r="S883" i="1"/>
  <c r="R883" i="1"/>
  <c r="U882" i="1"/>
  <c r="T882" i="1"/>
  <c r="S882" i="1"/>
  <c r="R882" i="1"/>
  <c r="U881" i="1"/>
  <c r="T881" i="1"/>
  <c r="S881" i="1"/>
  <c r="R881" i="1"/>
  <c r="U880" i="1"/>
  <c r="T880" i="1"/>
  <c r="S880" i="1"/>
  <c r="R880" i="1"/>
  <c r="U879" i="1"/>
  <c r="T879" i="1"/>
  <c r="S879" i="1"/>
  <c r="R879" i="1"/>
  <c r="U878" i="1"/>
  <c r="T878" i="1"/>
  <c r="S878" i="1"/>
  <c r="R878" i="1"/>
  <c r="U877" i="1"/>
  <c r="T877" i="1"/>
  <c r="S877" i="1"/>
  <c r="R877" i="1"/>
  <c r="U876" i="1"/>
  <c r="T876" i="1"/>
  <c r="S876" i="1"/>
  <c r="R876" i="1"/>
  <c r="U875" i="1"/>
  <c r="T875" i="1"/>
  <c r="S875" i="1"/>
  <c r="R875" i="1"/>
  <c r="U874" i="1"/>
  <c r="T874" i="1"/>
  <c r="S874" i="1"/>
  <c r="R874" i="1"/>
  <c r="U873" i="1"/>
  <c r="T873" i="1"/>
  <c r="S873" i="1"/>
  <c r="R873" i="1"/>
  <c r="U872" i="1"/>
  <c r="T872" i="1"/>
  <c r="S872" i="1"/>
  <c r="R872" i="1"/>
  <c r="U871" i="1"/>
  <c r="T871" i="1"/>
  <c r="S871" i="1"/>
  <c r="R871" i="1"/>
  <c r="U870" i="1"/>
  <c r="T870" i="1"/>
  <c r="S870" i="1"/>
  <c r="R870" i="1"/>
  <c r="U869" i="1"/>
  <c r="T869" i="1"/>
  <c r="S869" i="1"/>
  <c r="R869" i="1"/>
  <c r="U868" i="1"/>
  <c r="T868" i="1"/>
  <c r="S868" i="1"/>
  <c r="R868" i="1"/>
  <c r="U867" i="1"/>
  <c r="T867" i="1"/>
  <c r="S867" i="1"/>
  <c r="R867" i="1"/>
  <c r="U866" i="1"/>
  <c r="T866" i="1"/>
  <c r="S866" i="1"/>
  <c r="R866" i="1"/>
  <c r="U865" i="1"/>
  <c r="T865" i="1"/>
  <c r="S865" i="1"/>
  <c r="R865" i="1"/>
  <c r="U864" i="1"/>
  <c r="T864" i="1"/>
  <c r="S864" i="1"/>
  <c r="R864" i="1"/>
  <c r="U863" i="1"/>
  <c r="T863" i="1"/>
  <c r="S863" i="1"/>
  <c r="R863" i="1"/>
  <c r="U862" i="1"/>
  <c r="T862" i="1"/>
  <c r="S862" i="1"/>
  <c r="R862" i="1"/>
  <c r="U861" i="1"/>
  <c r="T861" i="1"/>
  <c r="S861" i="1"/>
  <c r="R861" i="1"/>
  <c r="U860" i="1"/>
  <c r="T860" i="1"/>
  <c r="S860" i="1"/>
  <c r="R860" i="1"/>
  <c r="U859" i="1"/>
  <c r="T859" i="1"/>
  <c r="S859" i="1"/>
  <c r="R859" i="1"/>
  <c r="U858" i="1"/>
  <c r="T858" i="1"/>
  <c r="S858" i="1"/>
  <c r="R858" i="1"/>
  <c r="U857" i="1"/>
  <c r="T857" i="1"/>
  <c r="S857" i="1"/>
  <c r="R857" i="1"/>
  <c r="U856" i="1"/>
  <c r="T856" i="1"/>
  <c r="S856" i="1"/>
  <c r="R856" i="1"/>
  <c r="U855" i="1"/>
  <c r="T855" i="1"/>
  <c r="S855" i="1"/>
  <c r="R855" i="1"/>
  <c r="U854" i="1"/>
  <c r="T854" i="1"/>
  <c r="S854" i="1"/>
  <c r="R854" i="1"/>
  <c r="U853" i="1"/>
  <c r="T853" i="1"/>
  <c r="S853" i="1"/>
  <c r="R853" i="1"/>
  <c r="U852" i="1"/>
  <c r="T852" i="1"/>
  <c r="S852" i="1"/>
  <c r="R852" i="1"/>
  <c r="U851" i="1"/>
  <c r="T851" i="1"/>
  <c r="S851" i="1"/>
  <c r="R851" i="1"/>
  <c r="U850" i="1"/>
  <c r="T850" i="1"/>
  <c r="S850" i="1"/>
  <c r="R850" i="1"/>
  <c r="U849" i="1"/>
  <c r="T849" i="1"/>
  <c r="S849" i="1"/>
  <c r="R849" i="1"/>
  <c r="U848" i="1"/>
  <c r="T848" i="1"/>
  <c r="S848" i="1"/>
  <c r="R848" i="1"/>
  <c r="U847" i="1"/>
  <c r="T847" i="1"/>
  <c r="S847" i="1"/>
  <c r="R847" i="1"/>
  <c r="U846" i="1"/>
  <c r="T846" i="1"/>
  <c r="S846" i="1"/>
  <c r="R846" i="1"/>
  <c r="U845" i="1"/>
  <c r="T845" i="1"/>
  <c r="S845" i="1"/>
  <c r="R845" i="1"/>
  <c r="U844" i="1"/>
  <c r="T844" i="1"/>
  <c r="S844" i="1"/>
  <c r="R844" i="1"/>
  <c r="U843" i="1"/>
  <c r="T843" i="1"/>
  <c r="S843" i="1"/>
  <c r="R843" i="1"/>
  <c r="U842" i="1"/>
  <c r="T842" i="1"/>
  <c r="S842" i="1"/>
  <c r="R842" i="1"/>
  <c r="U841" i="1"/>
  <c r="T841" i="1"/>
  <c r="S841" i="1"/>
  <c r="R841" i="1"/>
  <c r="U840" i="1"/>
  <c r="T840" i="1"/>
  <c r="S840" i="1"/>
  <c r="R840" i="1"/>
  <c r="U839" i="1"/>
  <c r="T839" i="1"/>
  <c r="S839" i="1"/>
  <c r="R839" i="1"/>
  <c r="U838" i="1"/>
  <c r="T838" i="1"/>
  <c r="S838" i="1"/>
  <c r="R838" i="1"/>
  <c r="U837" i="1"/>
  <c r="T837" i="1"/>
  <c r="S837" i="1"/>
  <c r="R837" i="1"/>
  <c r="U836" i="1"/>
  <c r="T836" i="1"/>
  <c r="S836" i="1"/>
  <c r="R836" i="1"/>
  <c r="U835" i="1"/>
  <c r="T835" i="1"/>
  <c r="S835" i="1"/>
  <c r="R835" i="1"/>
  <c r="U834" i="1"/>
  <c r="T834" i="1"/>
  <c r="S834" i="1"/>
  <c r="R834" i="1"/>
  <c r="U833" i="1"/>
  <c r="T833" i="1"/>
  <c r="S833" i="1"/>
  <c r="R833" i="1"/>
  <c r="U832" i="1"/>
  <c r="T832" i="1"/>
  <c r="S832" i="1"/>
  <c r="R832" i="1"/>
  <c r="U831" i="1"/>
  <c r="T831" i="1"/>
  <c r="S831" i="1"/>
  <c r="R831" i="1"/>
  <c r="U830" i="1"/>
  <c r="T830" i="1"/>
  <c r="S830" i="1"/>
  <c r="R830" i="1"/>
  <c r="U829" i="1"/>
  <c r="T829" i="1"/>
  <c r="S829" i="1"/>
  <c r="R829" i="1"/>
  <c r="U828" i="1"/>
  <c r="T828" i="1"/>
  <c r="S828" i="1"/>
  <c r="R828" i="1"/>
  <c r="U827" i="1"/>
  <c r="T827" i="1"/>
  <c r="S827" i="1"/>
  <c r="R827" i="1"/>
  <c r="U826" i="1"/>
  <c r="T826" i="1"/>
  <c r="S826" i="1"/>
  <c r="R826" i="1"/>
  <c r="U825" i="1"/>
  <c r="T825" i="1"/>
  <c r="S825" i="1"/>
  <c r="R825" i="1"/>
  <c r="U824" i="1"/>
  <c r="T824" i="1"/>
  <c r="S824" i="1"/>
  <c r="R824" i="1"/>
  <c r="U823" i="1"/>
  <c r="T823" i="1"/>
  <c r="S823" i="1"/>
  <c r="R823" i="1"/>
  <c r="U822" i="1"/>
  <c r="T822" i="1"/>
  <c r="S822" i="1"/>
  <c r="R822" i="1"/>
  <c r="U821" i="1"/>
  <c r="T821" i="1"/>
  <c r="S821" i="1"/>
  <c r="R821" i="1"/>
  <c r="U820" i="1"/>
  <c r="T820" i="1"/>
  <c r="S820" i="1"/>
  <c r="R820" i="1"/>
  <c r="U819" i="1"/>
  <c r="T819" i="1"/>
  <c r="S819" i="1"/>
  <c r="R819" i="1"/>
  <c r="U818" i="1"/>
  <c r="T818" i="1"/>
  <c r="S818" i="1"/>
  <c r="R818" i="1"/>
  <c r="U817" i="1"/>
  <c r="T817" i="1"/>
  <c r="S817" i="1"/>
  <c r="R817" i="1"/>
  <c r="U816" i="1"/>
  <c r="T816" i="1"/>
  <c r="S816" i="1"/>
  <c r="R816" i="1"/>
  <c r="U815" i="1"/>
  <c r="T815" i="1"/>
  <c r="S815" i="1"/>
  <c r="R815" i="1"/>
  <c r="U814" i="1"/>
  <c r="T814" i="1"/>
  <c r="S814" i="1"/>
  <c r="R814" i="1"/>
  <c r="U813" i="1"/>
  <c r="T813" i="1"/>
  <c r="S813" i="1"/>
  <c r="R813" i="1"/>
  <c r="U812" i="1"/>
  <c r="T812" i="1"/>
  <c r="S812" i="1"/>
  <c r="R812" i="1"/>
  <c r="U811" i="1"/>
  <c r="T811" i="1"/>
  <c r="S811" i="1"/>
  <c r="R811" i="1"/>
  <c r="U810" i="1"/>
  <c r="T810" i="1"/>
  <c r="S810" i="1"/>
  <c r="R810" i="1"/>
  <c r="U809" i="1"/>
  <c r="T809" i="1"/>
  <c r="S809" i="1"/>
  <c r="R809" i="1"/>
  <c r="U808" i="1"/>
  <c r="T808" i="1"/>
  <c r="S808" i="1"/>
  <c r="R808" i="1"/>
  <c r="U807" i="1"/>
  <c r="T807" i="1"/>
  <c r="S807" i="1"/>
  <c r="R807" i="1"/>
  <c r="U806" i="1"/>
  <c r="T806" i="1"/>
  <c r="S806" i="1"/>
  <c r="R806" i="1"/>
  <c r="U805" i="1"/>
  <c r="T805" i="1"/>
  <c r="S805" i="1"/>
  <c r="R805" i="1"/>
  <c r="U804" i="1"/>
  <c r="T804" i="1"/>
  <c r="S804" i="1"/>
  <c r="R804" i="1"/>
  <c r="U803" i="1"/>
  <c r="T803" i="1"/>
  <c r="S803" i="1"/>
  <c r="R803" i="1"/>
  <c r="U802" i="1"/>
  <c r="T802" i="1"/>
  <c r="S802" i="1"/>
  <c r="R802" i="1"/>
  <c r="U801" i="1"/>
  <c r="T801" i="1"/>
  <c r="S801" i="1"/>
  <c r="R801" i="1"/>
  <c r="U800" i="1"/>
  <c r="T800" i="1"/>
  <c r="S800" i="1"/>
  <c r="R800" i="1"/>
  <c r="U799" i="1"/>
  <c r="T799" i="1"/>
  <c r="S799" i="1"/>
  <c r="R799" i="1"/>
  <c r="U798" i="1"/>
  <c r="T798" i="1"/>
  <c r="S798" i="1"/>
  <c r="R798" i="1"/>
  <c r="U797" i="1"/>
  <c r="T797" i="1"/>
  <c r="S797" i="1"/>
  <c r="R797" i="1"/>
  <c r="U796" i="1"/>
  <c r="T796" i="1"/>
  <c r="S796" i="1"/>
  <c r="R796" i="1"/>
  <c r="U795" i="1"/>
  <c r="T795" i="1"/>
  <c r="S795" i="1"/>
  <c r="R795" i="1"/>
  <c r="U794" i="1"/>
  <c r="T794" i="1"/>
  <c r="S794" i="1"/>
  <c r="R794" i="1"/>
  <c r="U793" i="1"/>
  <c r="T793" i="1"/>
  <c r="S793" i="1"/>
  <c r="R793" i="1"/>
  <c r="U792" i="1"/>
  <c r="T792" i="1"/>
  <c r="S792" i="1"/>
  <c r="R792" i="1"/>
  <c r="U791" i="1"/>
  <c r="T791" i="1"/>
  <c r="S791" i="1"/>
  <c r="R791" i="1"/>
  <c r="U790" i="1"/>
  <c r="T790" i="1"/>
  <c r="S790" i="1"/>
  <c r="R790" i="1"/>
  <c r="U789" i="1"/>
  <c r="T789" i="1"/>
  <c r="S789" i="1"/>
  <c r="R789" i="1"/>
  <c r="U788" i="1"/>
  <c r="T788" i="1"/>
  <c r="S788" i="1"/>
  <c r="R788" i="1"/>
  <c r="U787" i="1"/>
  <c r="T787" i="1"/>
  <c r="S787" i="1"/>
  <c r="R787" i="1"/>
  <c r="U786" i="1"/>
  <c r="T786" i="1"/>
  <c r="S786" i="1"/>
  <c r="R786" i="1"/>
  <c r="U785" i="1"/>
  <c r="T785" i="1"/>
  <c r="S785" i="1"/>
  <c r="R785" i="1"/>
  <c r="U784" i="1"/>
  <c r="T784" i="1"/>
  <c r="S784" i="1"/>
  <c r="R784" i="1"/>
  <c r="U783" i="1"/>
  <c r="T783" i="1"/>
  <c r="S783" i="1"/>
  <c r="R783" i="1"/>
  <c r="U782" i="1"/>
  <c r="T782" i="1"/>
  <c r="S782" i="1"/>
  <c r="R782" i="1"/>
  <c r="U781" i="1"/>
  <c r="T781" i="1"/>
  <c r="S781" i="1"/>
  <c r="R781" i="1"/>
  <c r="U780" i="1"/>
  <c r="T780" i="1"/>
  <c r="S780" i="1"/>
  <c r="R780" i="1"/>
  <c r="U779" i="1"/>
  <c r="T779" i="1"/>
  <c r="S779" i="1"/>
  <c r="R779" i="1"/>
  <c r="U778" i="1"/>
  <c r="T778" i="1"/>
  <c r="S778" i="1"/>
  <c r="R778" i="1"/>
  <c r="U777" i="1"/>
  <c r="T777" i="1"/>
  <c r="S777" i="1"/>
  <c r="R777" i="1"/>
  <c r="U776" i="1"/>
  <c r="T776" i="1"/>
  <c r="S776" i="1"/>
  <c r="R776" i="1"/>
  <c r="U775" i="1"/>
  <c r="T775" i="1"/>
  <c r="S775" i="1"/>
  <c r="R775" i="1"/>
  <c r="U774" i="1"/>
  <c r="T774" i="1"/>
  <c r="S774" i="1"/>
  <c r="R774" i="1"/>
  <c r="U773" i="1"/>
  <c r="T773" i="1"/>
  <c r="S773" i="1"/>
  <c r="R773" i="1"/>
  <c r="U772" i="1"/>
  <c r="T772" i="1"/>
  <c r="S772" i="1"/>
  <c r="R772" i="1"/>
  <c r="U771" i="1"/>
  <c r="T771" i="1"/>
  <c r="S771" i="1"/>
  <c r="R771" i="1"/>
  <c r="U770" i="1"/>
  <c r="T770" i="1"/>
  <c r="S770" i="1"/>
  <c r="R770" i="1"/>
  <c r="U769" i="1"/>
  <c r="T769" i="1"/>
  <c r="S769" i="1"/>
  <c r="R769" i="1"/>
  <c r="U768" i="1"/>
  <c r="T768" i="1"/>
  <c r="S768" i="1"/>
  <c r="R768" i="1"/>
  <c r="U767" i="1"/>
  <c r="T767" i="1"/>
  <c r="S767" i="1"/>
  <c r="R767" i="1"/>
  <c r="U766" i="1"/>
  <c r="T766" i="1"/>
  <c r="S766" i="1"/>
  <c r="R766" i="1"/>
  <c r="U765" i="1"/>
  <c r="T765" i="1"/>
  <c r="S765" i="1"/>
  <c r="R765" i="1"/>
  <c r="U764" i="1"/>
  <c r="T764" i="1"/>
  <c r="S764" i="1"/>
  <c r="R764" i="1"/>
  <c r="U763" i="1"/>
  <c r="T763" i="1"/>
  <c r="S763" i="1"/>
  <c r="R763" i="1"/>
  <c r="U762" i="1"/>
  <c r="T762" i="1"/>
  <c r="S762" i="1"/>
  <c r="R762" i="1"/>
  <c r="U761" i="1"/>
  <c r="T761" i="1"/>
  <c r="S761" i="1"/>
  <c r="R761" i="1"/>
  <c r="U760" i="1"/>
  <c r="T760" i="1"/>
  <c r="S760" i="1"/>
  <c r="R760" i="1"/>
  <c r="U759" i="1"/>
  <c r="T759" i="1"/>
  <c r="S759" i="1"/>
  <c r="R759" i="1"/>
  <c r="U758" i="1"/>
  <c r="T758" i="1"/>
  <c r="S758" i="1"/>
  <c r="R758" i="1"/>
  <c r="U757" i="1"/>
  <c r="T757" i="1"/>
  <c r="S757" i="1"/>
  <c r="R757" i="1"/>
  <c r="U756" i="1"/>
  <c r="T756" i="1"/>
  <c r="S756" i="1"/>
  <c r="R756" i="1"/>
  <c r="U755" i="1"/>
  <c r="T755" i="1"/>
  <c r="S755" i="1"/>
  <c r="R755" i="1"/>
  <c r="U754" i="1"/>
  <c r="T754" i="1"/>
  <c r="S754" i="1"/>
  <c r="R754" i="1"/>
  <c r="U753" i="1"/>
  <c r="T753" i="1"/>
  <c r="S753" i="1"/>
  <c r="R753" i="1"/>
  <c r="U752" i="1"/>
  <c r="T752" i="1"/>
  <c r="S752" i="1"/>
  <c r="R752" i="1"/>
  <c r="U751" i="1"/>
  <c r="T751" i="1"/>
  <c r="S751" i="1"/>
  <c r="R751" i="1"/>
  <c r="U750" i="1"/>
  <c r="T750" i="1"/>
  <c r="S750" i="1"/>
  <c r="R750" i="1"/>
  <c r="U749" i="1"/>
  <c r="T749" i="1"/>
  <c r="S749" i="1"/>
  <c r="R749" i="1"/>
  <c r="U748" i="1"/>
  <c r="T748" i="1"/>
  <c r="S748" i="1"/>
  <c r="R748" i="1"/>
  <c r="U747" i="1"/>
  <c r="T747" i="1"/>
  <c r="S747" i="1"/>
  <c r="R747" i="1"/>
  <c r="U746" i="1"/>
  <c r="T746" i="1"/>
  <c r="S746" i="1"/>
  <c r="R746" i="1"/>
  <c r="U745" i="1"/>
  <c r="T745" i="1"/>
  <c r="S745" i="1"/>
  <c r="R745" i="1"/>
  <c r="U744" i="1"/>
  <c r="T744" i="1"/>
  <c r="S744" i="1"/>
  <c r="R744" i="1"/>
  <c r="U743" i="1"/>
  <c r="T743" i="1"/>
  <c r="S743" i="1"/>
  <c r="R743" i="1"/>
  <c r="U742" i="1"/>
  <c r="T742" i="1"/>
  <c r="S742" i="1"/>
  <c r="R742" i="1"/>
  <c r="U741" i="1"/>
  <c r="T741" i="1"/>
  <c r="S741" i="1"/>
  <c r="R741" i="1"/>
  <c r="U740" i="1"/>
  <c r="T740" i="1"/>
  <c r="S740" i="1"/>
  <c r="R740" i="1"/>
  <c r="U739" i="1"/>
  <c r="T739" i="1"/>
  <c r="S739" i="1"/>
  <c r="R739" i="1"/>
  <c r="U738" i="1"/>
  <c r="T738" i="1"/>
  <c r="S738" i="1"/>
  <c r="R738" i="1"/>
  <c r="U737" i="1"/>
  <c r="T737" i="1"/>
  <c r="S737" i="1"/>
  <c r="R737" i="1"/>
  <c r="U736" i="1"/>
  <c r="T736" i="1"/>
  <c r="S736" i="1"/>
  <c r="R736" i="1"/>
  <c r="U735" i="1"/>
  <c r="T735" i="1"/>
  <c r="S735" i="1"/>
  <c r="R735" i="1"/>
  <c r="U734" i="1"/>
  <c r="T734" i="1"/>
  <c r="S734" i="1"/>
  <c r="R734" i="1"/>
  <c r="U733" i="1"/>
  <c r="T733" i="1"/>
  <c r="S733" i="1"/>
  <c r="R733" i="1"/>
  <c r="U732" i="1"/>
  <c r="T732" i="1"/>
  <c r="S732" i="1"/>
  <c r="R732" i="1"/>
  <c r="U731" i="1"/>
  <c r="T731" i="1"/>
  <c r="S731" i="1"/>
  <c r="R731" i="1"/>
  <c r="U730" i="1"/>
  <c r="T730" i="1"/>
  <c r="S730" i="1"/>
  <c r="R730" i="1"/>
  <c r="U729" i="1"/>
  <c r="T729" i="1"/>
  <c r="S729" i="1"/>
  <c r="R729" i="1"/>
  <c r="U728" i="1"/>
  <c r="T728" i="1"/>
  <c r="S728" i="1"/>
  <c r="R728" i="1"/>
  <c r="U727" i="1"/>
  <c r="T727" i="1"/>
  <c r="S727" i="1"/>
  <c r="R727" i="1"/>
  <c r="U726" i="1"/>
  <c r="T726" i="1"/>
  <c r="S726" i="1"/>
  <c r="R726" i="1"/>
  <c r="U725" i="1"/>
  <c r="T725" i="1"/>
  <c r="S725" i="1"/>
  <c r="R725" i="1"/>
  <c r="U724" i="1"/>
  <c r="T724" i="1"/>
  <c r="S724" i="1"/>
  <c r="R724" i="1"/>
  <c r="U723" i="1"/>
  <c r="T723" i="1"/>
  <c r="S723" i="1"/>
  <c r="R723" i="1"/>
  <c r="U722" i="1"/>
  <c r="T722" i="1"/>
  <c r="S722" i="1"/>
  <c r="R722" i="1"/>
  <c r="U721" i="1"/>
  <c r="T721" i="1"/>
  <c r="S721" i="1"/>
  <c r="R721" i="1"/>
  <c r="U720" i="1"/>
  <c r="T720" i="1"/>
  <c r="S720" i="1"/>
  <c r="R720" i="1"/>
  <c r="U719" i="1"/>
  <c r="T719" i="1"/>
  <c r="S719" i="1"/>
  <c r="R719" i="1"/>
  <c r="U718" i="1"/>
  <c r="T718" i="1"/>
  <c r="S718" i="1"/>
  <c r="R718" i="1"/>
  <c r="U717" i="1"/>
  <c r="T717" i="1"/>
  <c r="S717" i="1"/>
  <c r="R717" i="1"/>
  <c r="U716" i="1"/>
  <c r="T716" i="1"/>
  <c r="S716" i="1"/>
  <c r="R716" i="1"/>
  <c r="U715" i="1"/>
  <c r="T715" i="1"/>
  <c r="S715" i="1"/>
  <c r="R715" i="1"/>
  <c r="U714" i="1"/>
  <c r="T714" i="1"/>
  <c r="S714" i="1"/>
  <c r="R714" i="1"/>
  <c r="U713" i="1"/>
  <c r="T713" i="1"/>
  <c r="S713" i="1"/>
  <c r="R713" i="1"/>
  <c r="U712" i="1"/>
  <c r="T712" i="1"/>
  <c r="S712" i="1"/>
  <c r="R712" i="1"/>
  <c r="U711" i="1"/>
  <c r="T711" i="1"/>
  <c r="S711" i="1"/>
  <c r="R711" i="1"/>
  <c r="U710" i="1"/>
  <c r="T710" i="1"/>
  <c r="S710" i="1"/>
  <c r="R710" i="1"/>
  <c r="U709" i="1"/>
  <c r="T709" i="1"/>
  <c r="S709" i="1"/>
  <c r="R709" i="1"/>
  <c r="U708" i="1"/>
  <c r="T708" i="1"/>
  <c r="S708" i="1"/>
  <c r="R708" i="1"/>
  <c r="U707" i="1"/>
  <c r="T707" i="1"/>
  <c r="S707" i="1"/>
  <c r="R707" i="1"/>
  <c r="U706" i="1"/>
  <c r="T706" i="1"/>
  <c r="S706" i="1"/>
  <c r="R706" i="1"/>
  <c r="U705" i="1"/>
  <c r="T705" i="1"/>
  <c r="S705" i="1"/>
  <c r="R705" i="1"/>
  <c r="U704" i="1"/>
  <c r="T704" i="1"/>
  <c r="S704" i="1"/>
  <c r="R704" i="1"/>
  <c r="U703" i="1"/>
  <c r="T703" i="1"/>
  <c r="S703" i="1"/>
  <c r="R703" i="1"/>
  <c r="U702" i="1"/>
  <c r="T702" i="1"/>
  <c r="S702" i="1"/>
  <c r="R702" i="1"/>
  <c r="U701" i="1"/>
  <c r="T701" i="1"/>
  <c r="S701" i="1"/>
  <c r="R701" i="1"/>
  <c r="U700" i="1"/>
  <c r="T700" i="1"/>
  <c r="S700" i="1"/>
  <c r="R700" i="1"/>
  <c r="U699" i="1"/>
  <c r="T699" i="1"/>
  <c r="S699" i="1"/>
  <c r="R699" i="1"/>
  <c r="U698" i="1"/>
  <c r="T698" i="1"/>
  <c r="S698" i="1"/>
  <c r="R698" i="1"/>
  <c r="U697" i="1"/>
  <c r="T697" i="1"/>
  <c r="S697" i="1"/>
  <c r="R697" i="1"/>
  <c r="U696" i="1"/>
  <c r="T696" i="1"/>
  <c r="S696" i="1"/>
  <c r="R696" i="1"/>
  <c r="U695" i="1"/>
  <c r="T695" i="1"/>
  <c r="S695" i="1"/>
  <c r="R695" i="1"/>
  <c r="U694" i="1"/>
  <c r="T694" i="1"/>
  <c r="S694" i="1"/>
  <c r="R694" i="1"/>
  <c r="U693" i="1"/>
  <c r="T693" i="1"/>
  <c r="S693" i="1"/>
  <c r="R693" i="1"/>
  <c r="U692" i="1"/>
  <c r="T692" i="1"/>
  <c r="S692" i="1"/>
  <c r="R692" i="1"/>
  <c r="U691" i="1"/>
  <c r="T691" i="1"/>
  <c r="S691" i="1"/>
  <c r="R691" i="1"/>
  <c r="U690" i="1"/>
  <c r="T690" i="1"/>
  <c r="S690" i="1"/>
  <c r="R690" i="1"/>
  <c r="U689" i="1"/>
  <c r="T689" i="1"/>
  <c r="S689" i="1"/>
  <c r="R689" i="1"/>
  <c r="U688" i="1"/>
  <c r="T688" i="1"/>
  <c r="S688" i="1"/>
  <c r="R688" i="1"/>
  <c r="U687" i="1"/>
  <c r="T687" i="1"/>
  <c r="S687" i="1"/>
  <c r="R687" i="1"/>
  <c r="U686" i="1"/>
  <c r="T686" i="1"/>
  <c r="S686" i="1"/>
  <c r="R686" i="1"/>
  <c r="U685" i="1"/>
  <c r="T685" i="1"/>
  <c r="S685" i="1"/>
  <c r="R685" i="1"/>
  <c r="U684" i="1"/>
  <c r="T684" i="1"/>
  <c r="S684" i="1"/>
  <c r="R684" i="1"/>
  <c r="U683" i="1"/>
  <c r="T683" i="1"/>
  <c r="S683" i="1"/>
  <c r="R683" i="1"/>
  <c r="U682" i="1"/>
  <c r="T682" i="1"/>
  <c r="S682" i="1"/>
  <c r="R682" i="1"/>
  <c r="U681" i="1"/>
  <c r="T681" i="1"/>
  <c r="S681" i="1"/>
  <c r="R681" i="1"/>
  <c r="U680" i="1"/>
  <c r="T680" i="1"/>
  <c r="S680" i="1"/>
  <c r="R680" i="1"/>
  <c r="U679" i="1"/>
  <c r="T679" i="1"/>
  <c r="S679" i="1"/>
  <c r="R679" i="1"/>
  <c r="U678" i="1"/>
  <c r="T678" i="1"/>
  <c r="S678" i="1"/>
  <c r="R678" i="1"/>
  <c r="U677" i="1"/>
  <c r="T677" i="1"/>
  <c r="S677" i="1"/>
  <c r="R677" i="1"/>
  <c r="U676" i="1"/>
  <c r="T676" i="1"/>
  <c r="S676" i="1"/>
  <c r="R676" i="1"/>
  <c r="U675" i="1"/>
  <c r="T675" i="1"/>
  <c r="S675" i="1"/>
  <c r="R675" i="1"/>
  <c r="U674" i="1"/>
  <c r="T674" i="1"/>
  <c r="S674" i="1"/>
  <c r="R674" i="1"/>
  <c r="U673" i="1"/>
  <c r="T673" i="1"/>
  <c r="S673" i="1"/>
  <c r="R673" i="1"/>
  <c r="U672" i="1"/>
  <c r="T672" i="1"/>
  <c r="S672" i="1"/>
  <c r="R672" i="1"/>
  <c r="U671" i="1"/>
  <c r="T671" i="1"/>
  <c r="S671" i="1"/>
  <c r="R671" i="1"/>
  <c r="U670" i="1"/>
  <c r="T670" i="1"/>
  <c r="S670" i="1"/>
  <c r="R670" i="1"/>
  <c r="U669" i="1"/>
  <c r="T669" i="1"/>
  <c r="S669" i="1"/>
  <c r="R669" i="1"/>
  <c r="U668" i="1"/>
  <c r="T668" i="1"/>
  <c r="S668" i="1"/>
  <c r="R668" i="1"/>
  <c r="U667" i="1"/>
  <c r="T667" i="1"/>
  <c r="S667" i="1"/>
  <c r="R667" i="1"/>
  <c r="U666" i="1"/>
  <c r="T666" i="1"/>
  <c r="S666" i="1"/>
  <c r="R666" i="1"/>
  <c r="U665" i="1"/>
  <c r="T665" i="1"/>
  <c r="S665" i="1"/>
  <c r="R665" i="1"/>
  <c r="U664" i="1"/>
  <c r="T664" i="1"/>
  <c r="S664" i="1"/>
  <c r="R664" i="1"/>
  <c r="U663" i="1"/>
  <c r="T663" i="1"/>
  <c r="S663" i="1"/>
  <c r="R663" i="1"/>
  <c r="U662" i="1"/>
  <c r="T662" i="1"/>
  <c r="S662" i="1"/>
  <c r="R662" i="1"/>
  <c r="U661" i="1"/>
  <c r="T661" i="1"/>
  <c r="S661" i="1"/>
  <c r="R661" i="1"/>
  <c r="U660" i="1"/>
  <c r="T660" i="1"/>
  <c r="S660" i="1"/>
  <c r="R660" i="1"/>
  <c r="U659" i="1"/>
  <c r="T659" i="1"/>
  <c r="S659" i="1"/>
  <c r="R659" i="1"/>
  <c r="U658" i="1"/>
  <c r="T658" i="1"/>
  <c r="S658" i="1"/>
  <c r="R658" i="1"/>
  <c r="U657" i="1"/>
  <c r="T657" i="1"/>
  <c r="S657" i="1"/>
  <c r="R657" i="1"/>
  <c r="U656" i="1"/>
  <c r="T656" i="1"/>
  <c r="S656" i="1"/>
  <c r="R656" i="1"/>
  <c r="U655" i="1"/>
  <c r="T655" i="1"/>
  <c r="S655" i="1"/>
  <c r="R655" i="1"/>
  <c r="U654" i="1"/>
  <c r="T654" i="1"/>
  <c r="S654" i="1"/>
  <c r="R654" i="1"/>
  <c r="U653" i="1"/>
  <c r="T653" i="1"/>
  <c r="S653" i="1"/>
  <c r="R653" i="1"/>
  <c r="U652" i="1"/>
  <c r="T652" i="1"/>
  <c r="S652" i="1"/>
  <c r="R652" i="1"/>
  <c r="U651" i="1"/>
  <c r="T651" i="1"/>
  <c r="S651" i="1"/>
  <c r="R651" i="1"/>
  <c r="U650" i="1"/>
  <c r="T650" i="1"/>
  <c r="S650" i="1"/>
  <c r="R650" i="1"/>
  <c r="U649" i="1"/>
  <c r="T649" i="1"/>
  <c r="S649" i="1"/>
  <c r="R649" i="1"/>
  <c r="U648" i="1"/>
  <c r="T648" i="1"/>
  <c r="S648" i="1"/>
  <c r="R648" i="1"/>
  <c r="U647" i="1"/>
  <c r="T647" i="1"/>
  <c r="S647" i="1"/>
  <c r="R647" i="1"/>
  <c r="U646" i="1"/>
  <c r="T646" i="1"/>
  <c r="S646" i="1"/>
  <c r="R646" i="1"/>
  <c r="U645" i="1"/>
  <c r="T645" i="1"/>
  <c r="S645" i="1"/>
  <c r="R645" i="1"/>
  <c r="U644" i="1"/>
  <c r="T644" i="1"/>
  <c r="S644" i="1"/>
  <c r="R644" i="1"/>
  <c r="U643" i="1"/>
  <c r="T643" i="1"/>
  <c r="S643" i="1"/>
  <c r="R643" i="1"/>
  <c r="U642" i="1"/>
  <c r="T642" i="1"/>
  <c r="S642" i="1"/>
  <c r="R642" i="1"/>
  <c r="U641" i="1"/>
  <c r="T641" i="1"/>
  <c r="S641" i="1"/>
  <c r="R641" i="1"/>
  <c r="U640" i="1"/>
  <c r="T640" i="1"/>
  <c r="S640" i="1"/>
  <c r="R640" i="1"/>
  <c r="U639" i="1"/>
  <c r="T639" i="1"/>
  <c r="S639" i="1"/>
  <c r="R639" i="1"/>
  <c r="U638" i="1"/>
  <c r="T638" i="1"/>
  <c r="S638" i="1"/>
  <c r="R638" i="1"/>
  <c r="U637" i="1"/>
  <c r="T637" i="1"/>
  <c r="S637" i="1"/>
  <c r="R637" i="1"/>
  <c r="U636" i="1"/>
  <c r="T636" i="1"/>
  <c r="S636" i="1"/>
  <c r="R636" i="1"/>
  <c r="U635" i="1"/>
  <c r="T635" i="1"/>
  <c r="S635" i="1"/>
  <c r="R635" i="1"/>
  <c r="U634" i="1"/>
  <c r="T634" i="1"/>
  <c r="S634" i="1"/>
  <c r="R634" i="1"/>
  <c r="U633" i="1"/>
  <c r="T633" i="1"/>
  <c r="S633" i="1"/>
  <c r="R633" i="1"/>
  <c r="U632" i="1"/>
  <c r="T632" i="1"/>
  <c r="S632" i="1"/>
  <c r="R632" i="1"/>
  <c r="U631" i="1"/>
  <c r="T631" i="1"/>
  <c r="S631" i="1"/>
  <c r="R631" i="1"/>
  <c r="U630" i="1"/>
  <c r="T630" i="1"/>
  <c r="S630" i="1"/>
  <c r="R630" i="1"/>
  <c r="U629" i="1"/>
  <c r="T629" i="1"/>
  <c r="S629" i="1"/>
  <c r="R629" i="1"/>
  <c r="U628" i="1"/>
  <c r="T628" i="1"/>
  <c r="S628" i="1"/>
  <c r="R628" i="1"/>
  <c r="U627" i="1"/>
  <c r="T627" i="1"/>
  <c r="S627" i="1"/>
  <c r="R627" i="1"/>
  <c r="U626" i="1"/>
  <c r="T626" i="1"/>
  <c r="S626" i="1"/>
  <c r="R626" i="1"/>
  <c r="U625" i="1"/>
  <c r="T625" i="1"/>
  <c r="S625" i="1"/>
  <c r="R625" i="1"/>
  <c r="U624" i="1"/>
  <c r="T624" i="1"/>
  <c r="S624" i="1"/>
  <c r="R624" i="1"/>
  <c r="U623" i="1"/>
  <c r="T623" i="1"/>
  <c r="S623" i="1"/>
  <c r="R623" i="1"/>
  <c r="U622" i="1"/>
  <c r="T622" i="1"/>
  <c r="S622" i="1"/>
  <c r="R622" i="1"/>
  <c r="U621" i="1"/>
  <c r="T621" i="1"/>
  <c r="S621" i="1"/>
  <c r="R621" i="1"/>
  <c r="U620" i="1"/>
  <c r="T620" i="1"/>
  <c r="S620" i="1"/>
  <c r="R620" i="1"/>
  <c r="U619" i="1"/>
  <c r="T619" i="1"/>
  <c r="S619" i="1"/>
  <c r="R619" i="1"/>
  <c r="U618" i="1"/>
  <c r="T618" i="1"/>
  <c r="S618" i="1"/>
  <c r="R618" i="1"/>
  <c r="U617" i="1"/>
  <c r="T617" i="1"/>
  <c r="S617" i="1"/>
  <c r="R617" i="1"/>
  <c r="U616" i="1"/>
  <c r="T616" i="1"/>
  <c r="S616" i="1"/>
  <c r="R616" i="1"/>
  <c r="U615" i="1"/>
  <c r="T615" i="1"/>
  <c r="S615" i="1"/>
  <c r="R615" i="1"/>
  <c r="U614" i="1"/>
  <c r="T614" i="1"/>
  <c r="S614" i="1"/>
  <c r="R614" i="1"/>
  <c r="U613" i="1"/>
  <c r="T613" i="1"/>
  <c r="S613" i="1"/>
  <c r="R613" i="1"/>
  <c r="U612" i="1"/>
  <c r="T612" i="1"/>
  <c r="S612" i="1"/>
  <c r="R612" i="1"/>
  <c r="U611" i="1"/>
  <c r="T611" i="1"/>
  <c r="S611" i="1"/>
  <c r="R611" i="1"/>
  <c r="U610" i="1"/>
  <c r="T610" i="1"/>
  <c r="S610" i="1"/>
  <c r="R610" i="1"/>
  <c r="U609" i="1"/>
  <c r="T609" i="1"/>
  <c r="S609" i="1"/>
  <c r="R609" i="1"/>
  <c r="U608" i="1"/>
  <c r="T608" i="1"/>
  <c r="S608" i="1"/>
  <c r="R608" i="1"/>
  <c r="U607" i="1"/>
  <c r="T607" i="1"/>
  <c r="S607" i="1"/>
  <c r="R607" i="1"/>
  <c r="U606" i="1"/>
  <c r="T606" i="1"/>
  <c r="S606" i="1"/>
  <c r="R606" i="1"/>
  <c r="U605" i="1"/>
  <c r="T605" i="1"/>
  <c r="S605" i="1"/>
  <c r="R605" i="1"/>
  <c r="U604" i="1"/>
  <c r="T604" i="1"/>
  <c r="S604" i="1"/>
  <c r="R604" i="1"/>
  <c r="U603" i="1"/>
  <c r="T603" i="1"/>
  <c r="S603" i="1"/>
  <c r="R603" i="1"/>
  <c r="U602" i="1"/>
  <c r="T602" i="1"/>
  <c r="S602" i="1"/>
  <c r="R602" i="1"/>
  <c r="U601" i="1"/>
  <c r="T601" i="1"/>
  <c r="S601" i="1"/>
  <c r="R601" i="1"/>
  <c r="U600" i="1"/>
  <c r="T600" i="1"/>
  <c r="S600" i="1"/>
  <c r="R600" i="1"/>
  <c r="U599" i="1"/>
  <c r="T599" i="1"/>
  <c r="S599" i="1"/>
  <c r="R599" i="1"/>
  <c r="U598" i="1"/>
  <c r="T598" i="1"/>
  <c r="S598" i="1"/>
  <c r="R598" i="1"/>
  <c r="U597" i="1"/>
  <c r="T597" i="1"/>
  <c r="S597" i="1"/>
  <c r="R597" i="1"/>
  <c r="U596" i="1"/>
  <c r="T596" i="1"/>
  <c r="S596" i="1"/>
  <c r="R596" i="1"/>
  <c r="U595" i="1"/>
  <c r="T595" i="1"/>
  <c r="S595" i="1"/>
  <c r="R595" i="1"/>
  <c r="U594" i="1"/>
  <c r="T594" i="1"/>
  <c r="S594" i="1"/>
  <c r="R594" i="1"/>
  <c r="U593" i="1"/>
  <c r="T593" i="1"/>
  <c r="S593" i="1"/>
  <c r="R593" i="1"/>
  <c r="U592" i="1"/>
  <c r="T592" i="1"/>
  <c r="S592" i="1"/>
  <c r="R592" i="1"/>
  <c r="U591" i="1"/>
  <c r="T591" i="1"/>
  <c r="S591" i="1"/>
  <c r="R591" i="1"/>
  <c r="U590" i="1"/>
  <c r="T590" i="1"/>
  <c r="S590" i="1"/>
  <c r="R590" i="1"/>
  <c r="U589" i="1"/>
  <c r="T589" i="1"/>
  <c r="S589" i="1"/>
  <c r="R589" i="1"/>
  <c r="U588" i="1"/>
  <c r="T588" i="1"/>
  <c r="S588" i="1"/>
  <c r="R588" i="1"/>
  <c r="U587" i="1"/>
  <c r="T587" i="1"/>
  <c r="S587" i="1"/>
  <c r="R587" i="1"/>
  <c r="U586" i="1"/>
  <c r="T586" i="1"/>
  <c r="S586" i="1"/>
  <c r="R586" i="1"/>
  <c r="U585" i="1"/>
  <c r="T585" i="1"/>
  <c r="S585" i="1"/>
  <c r="R585" i="1"/>
  <c r="U584" i="1"/>
  <c r="T584" i="1"/>
  <c r="S584" i="1"/>
  <c r="R584" i="1"/>
  <c r="U583" i="1"/>
  <c r="T583" i="1"/>
  <c r="S583" i="1"/>
  <c r="R583" i="1"/>
  <c r="U582" i="1"/>
  <c r="T582" i="1"/>
  <c r="S582" i="1"/>
  <c r="R582" i="1"/>
  <c r="U581" i="1"/>
  <c r="T581" i="1"/>
  <c r="S581" i="1"/>
  <c r="R581" i="1"/>
  <c r="U580" i="1"/>
  <c r="T580" i="1"/>
  <c r="S580" i="1"/>
  <c r="R580" i="1"/>
  <c r="U579" i="1"/>
  <c r="T579" i="1"/>
  <c r="S579" i="1"/>
  <c r="R579" i="1"/>
  <c r="U578" i="1"/>
  <c r="T578" i="1"/>
  <c r="S578" i="1"/>
  <c r="R578" i="1"/>
  <c r="U577" i="1"/>
  <c r="T577" i="1"/>
  <c r="S577" i="1"/>
  <c r="R577" i="1"/>
  <c r="U576" i="1"/>
  <c r="T576" i="1"/>
  <c r="S576" i="1"/>
  <c r="R576" i="1"/>
  <c r="U575" i="1"/>
  <c r="T575" i="1"/>
  <c r="S575" i="1"/>
  <c r="R575" i="1"/>
  <c r="U574" i="1"/>
  <c r="T574" i="1"/>
  <c r="S574" i="1"/>
  <c r="R574" i="1"/>
  <c r="U573" i="1"/>
  <c r="T573" i="1"/>
  <c r="S573" i="1"/>
  <c r="R573" i="1"/>
  <c r="U572" i="1"/>
  <c r="T572" i="1"/>
  <c r="S572" i="1"/>
  <c r="R572" i="1"/>
  <c r="U571" i="1"/>
  <c r="T571" i="1"/>
  <c r="S571" i="1"/>
  <c r="R571" i="1"/>
  <c r="U570" i="1"/>
  <c r="T570" i="1"/>
  <c r="S570" i="1"/>
  <c r="R570" i="1"/>
  <c r="U569" i="1"/>
  <c r="T569" i="1"/>
  <c r="S569" i="1"/>
  <c r="R569" i="1"/>
  <c r="U568" i="1"/>
  <c r="T568" i="1"/>
  <c r="S568" i="1"/>
  <c r="R568" i="1"/>
  <c r="U567" i="1"/>
  <c r="T567" i="1"/>
  <c r="S567" i="1"/>
  <c r="R567" i="1"/>
  <c r="U566" i="1"/>
  <c r="T566" i="1"/>
  <c r="S566" i="1"/>
  <c r="R566" i="1"/>
  <c r="U565" i="1"/>
  <c r="T565" i="1"/>
  <c r="S565" i="1"/>
  <c r="R565" i="1"/>
  <c r="U564" i="1"/>
  <c r="T564" i="1"/>
  <c r="S564" i="1"/>
  <c r="R564" i="1"/>
  <c r="U563" i="1"/>
  <c r="T563" i="1"/>
  <c r="S563" i="1"/>
  <c r="R563" i="1"/>
  <c r="U562" i="1"/>
  <c r="T562" i="1"/>
  <c r="S562" i="1"/>
  <c r="R562" i="1"/>
  <c r="U561" i="1"/>
  <c r="T561" i="1"/>
  <c r="S561" i="1"/>
  <c r="R561" i="1"/>
  <c r="U560" i="1"/>
  <c r="T560" i="1"/>
  <c r="S560" i="1"/>
  <c r="R560" i="1"/>
  <c r="U559" i="1"/>
  <c r="T559" i="1"/>
  <c r="S559" i="1"/>
  <c r="R559" i="1"/>
  <c r="U558" i="1"/>
  <c r="T558" i="1"/>
  <c r="S558" i="1"/>
  <c r="R558" i="1"/>
  <c r="U557" i="1"/>
  <c r="T557" i="1"/>
  <c r="S557" i="1"/>
  <c r="R557" i="1"/>
  <c r="U556" i="1"/>
  <c r="T556" i="1"/>
  <c r="S556" i="1"/>
  <c r="R556" i="1"/>
  <c r="U555" i="1"/>
  <c r="T555" i="1"/>
  <c r="S555" i="1"/>
  <c r="R555" i="1"/>
  <c r="U554" i="1"/>
  <c r="T554" i="1"/>
  <c r="S554" i="1"/>
  <c r="R554" i="1"/>
  <c r="U553" i="1"/>
  <c r="T553" i="1"/>
  <c r="S553" i="1"/>
  <c r="R553" i="1"/>
  <c r="U552" i="1"/>
  <c r="T552" i="1"/>
  <c r="S552" i="1"/>
  <c r="R552" i="1"/>
  <c r="U551" i="1"/>
  <c r="T551" i="1"/>
  <c r="S551" i="1"/>
  <c r="R551" i="1"/>
  <c r="U550" i="1"/>
  <c r="T550" i="1"/>
  <c r="S550" i="1"/>
  <c r="R550" i="1"/>
  <c r="U549" i="1"/>
  <c r="T549" i="1"/>
  <c r="S549" i="1"/>
  <c r="R549" i="1"/>
  <c r="U548" i="1"/>
  <c r="T548" i="1"/>
  <c r="S548" i="1"/>
  <c r="R548" i="1"/>
  <c r="U547" i="1"/>
  <c r="T547" i="1"/>
  <c r="S547" i="1"/>
  <c r="R547" i="1"/>
  <c r="U546" i="1"/>
  <c r="T546" i="1"/>
  <c r="S546" i="1"/>
  <c r="R546" i="1"/>
  <c r="U545" i="1"/>
  <c r="T545" i="1"/>
  <c r="S545" i="1"/>
  <c r="R545" i="1"/>
  <c r="U544" i="1"/>
  <c r="T544" i="1"/>
  <c r="S544" i="1"/>
  <c r="R544" i="1"/>
  <c r="U543" i="1"/>
  <c r="T543" i="1"/>
  <c r="S543" i="1"/>
  <c r="R543" i="1"/>
  <c r="U542" i="1"/>
  <c r="T542" i="1"/>
  <c r="S542" i="1"/>
  <c r="R542" i="1"/>
  <c r="U541" i="1"/>
  <c r="T541" i="1"/>
  <c r="S541" i="1"/>
  <c r="R541" i="1"/>
  <c r="U540" i="1"/>
  <c r="T540" i="1"/>
  <c r="S540" i="1"/>
  <c r="R540" i="1"/>
  <c r="U539" i="1"/>
  <c r="T539" i="1"/>
  <c r="S539" i="1"/>
  <c r="R539" i="1"/>
  <c r="U538" i="1"/>
  <c r="T538" i="1"/>
  <c r="S538" i="1"/>
  <c r="R538" i="1"/>
  <c r="U537" i="1"/>
  <c r="T537" i="1"/>
  <c r="S537" i="1"/>
  <c r="R537" i="1"/>
  <c r="U536" i="1"/>
  <c r="T536" i="1"/>
  <c r="S536" i="1"/>
  <c r="R536" i="1"/>
  <c r="U535" i="1"/>
  <c r="T535" i="1"/>
  <c r="S535" i="1"/>
  <c r="R535" i="1"/>
  <c r="U534" i="1"/>
  <c r="T534" i="1"/>
  <c r="S534" i="1"/>
  <c r="R534" i="1"/>
  <c r="U533" i="1"/>
  <c r="T533" i="1"/>
  <c r="S533" i="1"/>
  <c r="R533" i="1"/>
  <c r="U532" i="1"/>
  <c r="T532" i="1"/>
  <c r="S532" i="1"/>
  <c r="R532" i="1"/>
  <c r="U531" i="1"/>
  <c r="T531" i="1"/>
  <c r="S531" i="1"/>
  <c r="R531" i="1"/>
  <c r="U530" i="1"/>
  <c r="T530" i="1"/>
  <c r="S530" i="1"/>
  <c r="R530" i="1"/>
  <c r="U529" i="1"/>
  <c r="T529" i="1"/>
  <c r="S529" i="1"/>
  <c r="R529" i="1"/>
  <c r="U528" i="1"/>
  <c r="T528" i="1"/>
  <c r="S528" i="1"/>
  <c r="R528" i="1"/>
  <c r="U527" i="1"/>
  <c r="T527" i="1"/>
  <c r="S527" i="1"/>
  <c r="R527" i="1"/>
  <c r="U526" i="1"/>
  <c r="T526" i="1"/>
  <c r="S526" i="1"/>
  <c r="R526" i="1"/>
  <c r="U525" i="1"/>
  <c r="T525" i="1"/>
  <c r="S525" i="1"/>
  <c r="R525" i="1"/>
  <c r="U524" i="1"/>
  <c r="T524" i="1"/>
  <c r="S524" i="1"/>
  <c r="R524" i="1"/>
  <c r="U523" i="1"/>
  <c r="T523" i="1"/>
  <c r="S523" i="1"/>
  <c r="R523" i="1"/>
  <c r="U522" i="1"/>
  <c r="T522" i="1"/>
  <c r="S522" i="1"/>
  <c r="R522" i="1"/>
  <c r="U521" i="1"/>
  <c r="T521" i="1"/>
  <c r="S521" i="1"/>
  <c r="R521" i="1"/>
  <c r="U520" i="1"/>
  <c r="T520" i="1"/>
  <c r="S520" i="1"/>
  <c r="R520" i="1"/>
  <c r="U519" i="1"/>
  <c r="T519" i="1"/>
  <c r="S519" i="1"/>
  <c r="R519" i="1"/>
  <c r="U518" i="1"/>
  <c r="T518" i="1"/>
  <c r="S518" i="1"/>
  <c r="R518" i="1"/>
  <c r="U517" i="1"/>
  <c r="T517" i="1"/>
  <c r="S517" i="1"/>
  <c r="R517" i="1"/>
  <c r="U516" i="1"/>
  <c r="T516" i="1"/>
  <c r="S516" i="1"/>
  <c r="R516" i="1"/>
  <c r="U515" i="1"/>
  <c r="T515" i="1"/>
  <c r="S515" i="1"/>
  <c r="R515" i="1"/>
  <c r="U514" i="1"/>
  <c r="T514" i="1"/>
  <c r="S514" i="1"/>
  <c r="R514" i="1"/>
  <c r="U513" i="1"/>
  <c r="T513" i="1"/>
  <c r="S513" i="1"/>
  <c r="R513" i="1"/>
  <c r="U512" i="1"/>
  <c r="T512" i="1"/>
  <c r="S512" i="1"/>
  <c r="R512" i="1"/>
  <c r="U511" i="1"/>
  <c r="T511" i="1"/>
  <c r="S511" i="1"/>
  <c r="R511" i="1"/>
  <c r="U510" i="1"/>
  <c r="T510" i="1"/>
  <c r="S510" i="1"/>
  <c r="R510" i="1"/>
  <c r="U509" i="1"/>
  <c r="T509" i="1"/>
  <c r="S509" i="1"/>
  <c r="R509" i="1"/>
  <c r="U508" i="1"/>
  <c r="T508" i="1"/>
  <c r="S508" i="1"/>
  <c r="R508" i="1"/>
  <c r="U507" i="1"/>
  <c r="T507" i="1"/>
  <c r="S507" i="1"/>
  <c r="R507" i="1"/>
  <c r="U506" i="1"/>
  <c r="T506" i="1"/>
  <c r="S506" i="1"/>
  <c r="R506" i="1"/>
  <c r="U505" i="1"/>
  <c r="T505" i="1"/>
  <c r="S505" i="1"/>
  <c r="R505" i="1"/>
  <c r="U504" i="1"/>
  <c r="T504" i="1"/>
  <c r="S504" i="1"/>
  <c r="R504" i="1"/>
  <c r="U503" i="1"/>
  <c r="T503" i="1"/>
  <c r="S503" i="1"/>
  <c r="R503" i="1"/>
  <c r="U502" i="1"/>
  <c r="T502" i="1"/>
  <c r="S502" i="1"/>
  <c r="R502" i="1"/>
  <c r="U501" i="1"/>
  <c r="T501" i="1"/>
  <c r="S501" i="1"/>
  <c r="R501" i="1"/>
  <c r="U500" i="1"/>
  <c r="T500" i="1"/>
  <c r="S500" i="1"/>
  <c r="R500" i="1"/>
  <c r="U499" i="1"/>
  <c r="T499" i="1"/>
  <c r="S499" i="1"/>
  <c r="R499" i="1"/>
  <c r="U498" i="1"/>
  <c r="T498" i="1"/>
  <c r="S498" i="1"/>
  <c r="R498" i="1"/>
  <c r="U497" i="1"/>
  <c r="T497" i="1"/>
  <c r="S497" i="1"/>
  <c r="R497" i="1"/>
  <c r="U496" i="1"/>
  <c r="T496" i="1"/>
  <c r="S496" i="1"/>
  <c r="R496" i="1"/>
  <c r="U495" i="1"/>
  <c r="T495" i="1"/>
  <c r="S495" i="1"/>
  <c r="R495" i="1"/>
  <c r="U494" i="1"/>
  <c r="T494" i="1"/>
  <c r="S494" i="1"/>
  <c r="R494" i="1"/>
  <c r="U493" i="1"/>
  <c r="T493" i="1"/>
  <c r="S493" i="1"/>
  <c r="R493" i="1"/>
  <c r="U492" i="1"/>
  <c r="T492" i="1"/>
  <c r="S492" i="1"/>
  <c r="R492" i="1"/>
  <c r="U491" i="1"/>
  <c r="T491" i="1"/>
  <c r="S491" i="1"/>
  <c r="R491" i="1"/>
  <c r="U490" i="1"/>
  <c r="T490" i="1"/>
  <c r="S490" i="1"/>
  <c r="R490" i="1"/>
  <c r="U489" i="1"/>
  <c r="T489" i="1"/>
  <c r="S489" i="1"/>
  <c r="R489" i="1"/>
  <c r="U488" i="1"/>
  <c r="T488" i="1"/>
  <c r="S488" i="1"/>
  <c r="R488" i="1"/>
  <c r="U487" i="1"/>
  <c r="T487" i="1"/>
  <c r="S487" i="1"/>
  <c r="R487" i="1"/>
  <c r="U486" i="1"/>
  <c r="T486" i="1"/>
  <c r="S486" i="1"/>
  <c r="R486" i="1"/>
  <c r="U485" i="1"/>
  <c r="T485" i="1"/>
  <c r="S485" i="1"/>
  <c r="R485" i="1"/>
  <c r="U484" i="1"/>
  <c r="T484" i="1"/>
  <c r="S484" i="1"/>
  <c r="R484" i="1"/>
  <c r="U483" i="1"/>
  <c r="T483" i="1"/>
  <c r="S483" i="1"/>
  <c r="R483" i="1"/>
  <c r="U482" i="1"/>
  <c r="T482" i="1"/>
  <c r="S482" i="1"/>
  <c r="R482" i="1"/>
  <c r="U481" i="1"/>
  <c r="T481" i="1"/>
  <c r="S481" i="1"/>
  <c r="R481" i="1"/>
  <c r="U480" i="1"/>
  <c r="T480" i="1"/>
  <c r="S480" i="1"/>
  <c r="R480" i="1"/>
  <c r="U479" i="1"/>
  <c r="T479" i="1"/>
  <c r="S479" i="1"/>
  <c r="R479" i="1"/>
  <c r="U478" i="1"/>
  <c r="T478" i="1"/>
  <c r="S478" i="1"/>
  <c r="R478" i="1"/>
  <c r="U477" i="1"/>
  <c r="T477" i="1"/>
  <c r="S477" i="1"/>
  <c r="R477" i="1"/>
  <c r="U476" i="1"/>
  <c r="T476" i="1"/>
  <c r="S476" i="1"/>
  <c r="R476" i="1"/>
  <c r="U475" i="1"/>
  <c r="T475" i="1"/>
  <c r="S475" i="1"/>
  <c r="R475" i="1"/>
  <c r="U474" i="1"/>
  <c r="T474" i="1"/>
  <c r="S474" i="1"/>
  <c r="R474" i="1"/>
  <c r="U473" i="1"/>
  <c r="T473" i="1"/>
  <c r="S473" i="1"/>
  <c r="R473" i="1"/>
  <c r="U472" i="1"/>
  <c r="T472" i="1"/>
  <c r="S472" i="1"/>
  <c r="R472" i="1"/>
  <c r="U471" i="1"/>
  <c r="T471" i="1"/>
  <c r="S471" i="1"/>
  <c r="R471" i="1"/>
  <c r="U470" i="1"/>
  <c r="T470" i="1"/>
  <c r="S470" i="1"/>
  <c r="R470" i="1"/>
  <c r="U469" i="1"/>
  <c r="T469" i="1"/>
  <c r="S469" i="1"/>
  <c r="R469" i="1"/>
  <c r="U468" i="1"/>
  <c r="T468" i="1"/>
  <c r="S468" i="1"/>
  <c r="R468" i="1"/>
  <c r="U467" i="1"/>
  <c r="T467" i="1"/>
  <c r="S467" i="1"/>
  <c r="R467" i="1"/>
  <c r="U466" i="1"/>
  <c r="T466" i="1"/>
  <c r="S466" i="1"/>
  <c r="R466" i="1"/>
  <c r="U465" i="1"/>
  <c r="T465" i="1"/>
  <c r="S465" i="1"/>
  <c r="R465" i="1"/>
  <c r="U464" i="1"/>
  <c r="T464" i="1"/>
  <c r="S464" i="1"/>
  <c r="R464" i="1"/>
  <c r="U463" i="1"/>
  <c r="T463" i="1"/>
  <c r="S463" i="1"/>
  <c r="R463" i="1"/>
  <c r="U462" i="1"/>
  <c r="T462" i="1"/>
  <c r="S462" i="1"/>
  <c r="R462" i="1"/>
  <c r="U461" i="1"/>
  <c r="T461" i="1"/>
  <c r="S461" i="1"/>
  <c r="R461" i="1"/>
  <c r="U460" i="1"/>
  <c r="T460" i="1"/>
  <c r="S460" i="1"/>
  <c r="R460" i="1"/>
  <c r="U459" i="1"/>
  <c r="T459" i="1"/>
  <c r="S459" i="1"/>
  <c r="R459" i="1"/>
  <c r="U458" i="1"/>
  <c r="T458" i="1"/>
  <c r="S458" i="1"/>
  <c r="R458" i="1"/>
  <c r="U457" i="1"/>
  <c r="T457" i="1"/>
  <c r="S457" i="1"/>
  <c r="R457" i="1"/>
  <c r="U456" i="1"/>
  <c r="T456" i="1"/>
  <c r="S456" i="1"/>
  <c r="R456" i="1"/>
  <c r="U455" i="1"/>
  <c r="T455" i="1"/>
  <c r="S455" i="1"/>
  <c r="R455" i="1"/>
  <c r="U454" i="1"/>
  <c r="T454" i="1"/>
  <c r="S454" i="1"/>
  <c r="R454" i="1"/>
  <c r="U453" i="1"/>
  <c r="T453" i="1"/>
  <c r="S453" i="1"/>
  <c r="R453" i="1"/>
  <c r="U452" i="1"/>
  <c r="T452" i="1"/>
  <c r="S452" i="1"/>
  <c r="R452" i="1"/>
  <c r="U451" i="1"/>
  <c r="T451" i="1"/>
  <c r="S451" i="1"/>
  <c r="R451" i="1"/>
  <c r="U450" i="1"/>
  <c r="T450" i="1"/>
  <c r="S450" i="1"/>
  <c r="R450" i="1"/>
  <c r="U449" i="1"/>
  <c r="T449" i="1"/>
  <c r="S449" i="1"/>
  <c r="R449" i="1"/>
  <c r="U448" i="1"/>
  <c r="T448" i="1"/>
  <c r="S448" i="1"/>
  <c r="R448" i="1"/>
  <c r="U447" i="1"/>
  <c r="T447" i="1"/>
  <c r="S447" i="1"/>
  <c r="R447" i="1"/>
  <c r="U446" i="1"/>
  <c r="T446" i="1"/>
  <c r="S446" i="1"/>
  <c r="R446" i="1"/>
  <c r="U445" i="1"/>
  <c r="T445" i="1"/>
  <c r="S445" i="1"/>
  <c r="R445" i="1"/>
  <c r="U444" i="1"/>
  <c r="T444" i="1"/>
  <c r="S444" i="1"/>
  <c r="R444" i="1"/>
  <c r="U443" i="1"/>
  <c r="T443" i="1"/>
  <c r="S443" i="1"/>
  <c r="R443" i="1"/>
  <c r="U442" i="1"/>
  <c r="T442" i="1"/>
  <c r="S442" i="1"/>
  <c r="R442" i="1"/>
  <c r="U441" i="1"/>
  <c r="T441" i="1"/>
  <c r="S441" i="1"/>
  <c r="R441" i="1"/>
  <c r="U440" i="1"/>
  <c r="T440" i="1"/>
  <c r="S440" i="1"/>
  <c r="R440" i="1"/>
  <c r="U439" i="1"/>
  <c r="T439" i="1"/>
  <c r="S439" i="1"/>
  <c r="R439" i="1"/>
  <c r="U438" i="1"/>
  <c r="T438" i="1"/>
  <c r="S438" i="1"/>
  <c r="R438" i="1"/>
  <c r="U437" i="1"/>
  <c r="T437" i="1"/>
  <c r="S437" i="1"/>
  <c r="R437" i="1"/>
  <c r="U436" i="1"/>
  <c r="T436" i="1"/>
  <c r="S436" i="1"/>
  <c r="R436" i="1"/>
  <c r="U435" i="1"/>
  <c r="T435" i="1"/>
  <c r="S435" i="1"/>
  <c r="R435" i="1"/>
  <c r="U434" i="1"/>
  <c r="T434" i="1"/>
  <c r="S434" i="1"/>
  <c r="R434" i="1"/>
  <c r="U433" i="1"/>
  <c r="T433" i="1"/>
  <c r="S433" i="1"/>
  <c r="R433" i="1"/>
  <c r="U432" i="1"/>
  <c r="T432" i="1"/>
  <c r="S432" i="1"/>
  <c r="R432" i="1"/>
  <c r="U431" i="1"/>
  <c r="T431" i="1"/>
  <c r="S431" i="1"/>
  <c r="R431" i="1"/>
  <c r="U430" i="1"/>
  <c r="T430" i="1"/>
  <c r="S430" i="1"/>
  <c r="R430" i="1"/>
  <c r="U429" i="1"/>
  <c r="T429" i="1"/>
  <c r="S429" i="1"/>
  <c r="R429" i="1"/>
  <c r="U428" i="1"/>
  <c r="T428" i="1"/>
  <c r="S428" i="1"/>
  <c r="R428" i="1"/>
  <c r="U427" i="1"/>
  <c r="T427" i="1"/>
  <c r="S427" i="1"/>
  <c r="R427" i="1"/>
  <c r="U426" i="1"/>
  <c r="T426" i="1"/>
  <c r="S426" i="1"/>
  <c r="R426" i="1"/>
  <c r="U425" i="1"/>
  <c r="T425" i="1"/>
  <c r="S425" i="1"/>
  <c r="R425" i="1"/>
  <c r="U424" i="1"/>
  <c r="T424" i="1"/>
  <c r="S424" i="1"/>
  <c r="R424" i="1"/>
  <c r="U423" i="1"/>
  <c r="T423" i="1"/>
  <c r="S423" i="1"/>
  <c r="R423" i="1"/>
  <c r="U422" i="1"/>
  <c r="T422" i="1"/>
  <c r="S422" i="1"/>
  <c r="R422" i="1"/>
  <c r="U421" i="1"/>
  <c r="T421" i="1"/>
  <c r="S421" i="1"/>
  <c r="R421" i="1"/>
  <c r="U420" i="1"/>
  <c r="T420" i="1"/>
  <c r="S420" i="1"/>
  <c r="R420" i="1"/>
  <c r="U419" i="1"/>
  <c r="T419" i="1"/>
  <c r="S419" i="1"/>
  <c r="R419" i="1"/>
  <c r="U418" i="1"/>
  <c r="T418" i="1"/>
  <c r="S418" i="1"/>
  <c r="R418" i="1"/>
  <c r="U417" i="1"/>
  <c r="T417" i="1"/>
  <c r="S417" i="1"/>
  <c r="R417" i="1"/>
  <c r="U416" i="1"/>
  <c r="T416" i="1"/>
  <c r="S416" i="1"/>
  <c r="R416" i="1"/>
  <c r="U415" i="1"/>
  <c r="T415" i="1"/>
  <c r="S415" i="1"/>
  <c r="R415" i="1"/>
  <c r="U414" i="1"/>
  <c r="T414" i="1"/>
  <c r="S414" i="1"/>
  <c r="R414" i="1"/>
  <c r="U413" i="1"/>
  <c r="T413" i="1"/>
  <c r="S413" i="1"/>
  <c r="R413" i="1"/>
  <c r="U412" i="1"/>
  <c r="T412" i="1"/>
  <c r="S412" i="1"/>
  <c r="R412" i="1"/>
  <c r="U411" i="1"/>
  <c r="T411" i="1"/>
  <c r="S411" i="1"/>
  <c r="R411" i="1"/>
  <c r="U410" i="1"/>
  <c r="T410" i="1"/>
  <c r="S410" i="1"/>
  <c r="R410" i="1"/>
  <c r="U409" i="1"/>
  <c r="T409" i="1"/>
  <c r="S409" i="1"/>
  <c r="R409" i="1"/>
  <c r="U408" i="1"/>
  <c r="T408" i="1"/>
  <c r="S408" i="1"/>
  <c r="R408" i="1"/>
  <c r="U407" i="1"/>
  <c r="T407" i="1"/>
  <c r="S407" i="1"/>
  <c r="R407" i="1"/>
  <c r="U406" i="1"/>
  <c r="T406" i="1"/>
  <c r="S406" i="1"/>
  <c r="R406" i="1"/>
  <c r="U405" i="1"/>
  <c r="T405" i="1"/>
  <c r="S405" i="1"/>
  <c r="R405" i="1"/>
  <c r="U404" i="1"/>
  <c r="T404" i="1"/>
  <c r="S404" i="1"/>
  <c r="R404" i="1"/>
  <c r="U403" i="1"/>
  <c r="T403" i="1"/>
  <c r="S403" i="1"/>
  <c r="R403" i="1"/>
  <c r="U402" i="1"/>
  <c r="T402" i="1"/>
  <c r="S402" i="1"/>
  <c r="R402" i="1"/>
  <c r="U401" i="1"/>
  <c r="T401" i="1"/>
  <c r="S401" i="1"/>
  <c r="R401" i="1"/>
  <c r="U400" i="1"/>
  <c r="T400" i="1"/>
  <c r="S400" i="1"/>
  <c r="R400" i="1"/>
  <c r="U399" i="1"/>
  <c r="T399" i="1"/>
  <c r="S399" i="1"/>
  <c r="R399" i="1"/>
  <c r="U398" i="1"/>
  <c r="T398" i="1"/>
  <c r="S398" i="1"/>
  <c r="R398" i="1"/>
  <c r="U397" i="1"/>
  <c r="T397" i="1"/>
  <c r="S397" i="1"/>
  <c r="R397" i="1"/>
  <c r="U396" i="1"/>
  <c r="T396" i="1"/>
  <c r="S396" i="1"/>
  <c r="R396" i="1"/>
  <c r="U395" i="1"/>
  <c r="T395" i="1"/>
  <c r="S395" i="1"/>
  <c r="R395" i="1"/>
  <c r="U394" i="1"/>
  <c r="T394" i="1"/>
  <c r="S394" i="1"/>
  <c r="R394" i="1"/>
  <c r="U393" i="1"/>
  <c r="T393" i="1"/>
  <c r="S393" i="1"/>
  <c r="R393" i="1"/>
  <c r="U392" i="1"/>
  <c r="T392" i="1"/>
  <c r="S392" i="1"/>
  <c r="R392" i="1"/>
  <c r="U391" i="1"/>
  <c r="T391" i="1"/>
  <c r="S391" i="1"/>
  <c r="R391" i="1"/>
  <c r="U390" i="1"/>
  <c r="T390" i="1"/>
  <c r="S390" i="1"/>
  <c r="R390" i="1"/>
  <c r="U389" i="1"/>
  <c r="T389" i="1"/>
  <c r="S389" i="1"/>
  <c r="R389" i="1"/>
  <c r="U388" i="1"/>
  <c r="T388" i="1"/>
  <c r="S388" i="1"/>
  <c r="R388" i="1"/>
  <c r="U387" i="1"/>
  <c r="T387" i="1"/>
  <c r="S387" i="1"/>
  <c r="R387" i="1"/>
  <c r="U386" i="1"/>
  <c r="T386" i="1"/>
  <c r="S386" i="1"/>
  <c r="R386" i="1"/>
  <c r="U385" i="1"/>
  <c r="T385" i="1"/>
  <c r="S385" i="1"/>
  <c r="R385" i="1"/>
  <c r="U384" i="1"/>
  <c r="T384" i="1"/>
  <c r="S384" i="1"/>
  <c r="R384" i="1"/>
  <c r="U383" i="1"/>
  <c r="T383" i="1"/>
  <c r="S383" i="1"/>
  <c r="R383" i="1"/>
  <c r="U382" i="1"/>
  <c r="T382" i="1"/>
  <c r="S382" i="1"/>
  <c r="R382" i="1"/>
  <c r="U381" i="1"/>
  <c r="T381" i="1"/>
  <c r="S381" i="1"/>
  <c r="R381" i="1"/>
  <c r="U380" i="1"/>
  <c r="T380" i="1"/>
  <c r="S380" i="1"/>
  <c r="R380" i="1"/>
  <c r="U379" i="1"/>
  <c r="T379" i="1"/>
  <c r="S379" i="1"/>
  <c r="R379" i="1"/>
  <c r="U378" i="1"/>
  <c r="T378" i="1"/>
  <c r="S378" i="1"/>
  <c r="R378" i="1"/>
  <c r="U377" i="1"/>
  <c r="T377" i="1"/>
  <c r="S377" i="1"/>
  <c r="R377" i="1"/>
  <c r="U376" i="1"/>
  <c r="T376" i="1"/>
  <c r="S376" i="1"/>
  <c r="R376" i="1"/>
  <c r="U375" i="1"/>
  <c r="T375" i="1"/>
  <c r="S375" i="1"/>
  <c r="R375" i="1"/>
  <c r="U374" i="1"/>
  <c r="T374" i="1"/>
  <c r="S374" i="1"/>
  <c r="R374" i="1"/>
  <c r="U373" i="1"/>
  <c r="T373" i="1"/>
  <c r="S373" i="1"/>
  <c r="R373" i="1"/>
  <c r="U372" i="1"/>
  <c r="T372" i="1"/>
  <c r="S372" i="1"/>
  <c r="R372" i="1"/>
  <c r="U371" i="1"/>
  <c r="T371" i="1"/>
  <c r="S371" i="1"/>
  <c r="R371" i="1"/>
  <c r="U370" i="1"/>
  <c r="T370" i="1"/>
  <c r="S370" i="1"/>
  <c r="R370" i="1"/>
  <c r="U369" i="1"/>
  <c r="T369" i="1"/>
  <c r="S369" i="1"/>
  <c r="R369" i="1"/>
  <c r="U368" i="1"/>
  <c r="T368" i="1"/>
  <c r="S368" i="1"/>
  <c r="R368" i="1"/>
  <c r="U367" i="1"/>
  <c r="T367" i="1"/>
  <c r="S367" i="1"/>
  <c r="R367" i="1"/>
  <c r="U366" i="1"/>
  <c r="T366" i="1"/>
  <c r="S366" i="1"/>
  <c r="R366" i="1"/>
  <c r="U365" i="1"/>
  <c r="T365" i="1"/>
  <c r="S365" i="1"/>
  <c r="R365" i="1"/>
  <c r="U364" i="1"/>
  <c r="T364" i="1"/>
  <c r="S364" i="1"/>
  <c r="R364" i="1"/>
  <c r="U363" i="1"/>
  <c r="T363" i="1"/>
  <c r="S363" i="1"/>
  <c r="R363" i="1"/>
  <c r="U362" i="1"/>
  <c r="T362" i="1"/>
  <c r="S362" i="1"/>
  <c r="R362" i="1"/>
  <c r="U361" i="1"/>
  <c r="T361" i="1"/>
  <c r="S361" i="1"/>
  <c r="R361" i="1"/>
  <c r="U360" i="1"/>
  <c r="T360" i="1"/>
  <c r="S360" i="1"/>
  <c r="R360" i="1"/>
  <c r="U359" i="1"/>
  <c r="T359" i="1"/>
  <c r="S359" i="1"/>
  <c r="R359" i="1"/>
  <c r="U358" i="1"/>
  <c r="T358" i="1"/>
  <c r="S358" i="1"/>
  <c r="R358" i="1"/>
  <c r="U357" i="1"/>
  <c r="T357" i="1"/>
  <c r="S357" i="1"/>
  <c r="R357" i="1"/>
  <c r="U356" i="1"/>
  <c r="T356" i="1"/>
  <c r="S356" i="1"/>
  <c r="R356" i="1"/>
  <c r="U355" i="1"/>
  <c r="T355" i="1"/>
  <c r="S355" i="1"/>
  <c r="R355" i="1"/>
  <c r="U354" i="1"/>
  <c r="T354" i="1"/>
  <c r="S354" i="1"/>
  <c r="R354" i="1"/>
  <c r="U353" i="1"/>
  <c r="T353" i="1"/>
  <c r="S353" i="1"/>
  <c r="R353" i="1"/>
  <c r="U352" i="1"/>
  <c r="T352" i="1"/>
  <c r="S352" i="1"/>
  <c r="R352" i="1"/>
  <c r="U351" i="1"/>
  <c r="T351" i="1"/>
  <c r="S351" i="1"/>
  <c r="R351" i="1"/>
  <c r="U350" i="1"/>
  <c r="T350" i="1"/>
  <c r="S350" i="1"/>
  <c r="R350" i="1"/>
  <c r="U349" i="1"/>
  <c r="T349" i="1"/>
  <c r="S349" i="1"/>
  <c r="R349" i="1"/>
  <c r="U348" i="1"/>
  <c r="T348" i="1"/>
  <c r="S348" i="1"/>
  <c r="R348" i="1"/>
  <c r="U347" i="1"/>
  <c r="T347" i="1"/>
  <c r="S347" i="1"/>
  <c r="R347" i="1"/>
  <c r="U346" i="1"/>
  <c r="T346" i="1"/>
  <c r="S346" i="1"/>
  <c r="R346" i="1"/>
  <c r="U345" i="1"/>
  <c r="T345" i="1"/>
  <c r="S345" i="1"/>
  <c r="R345" i="1"/>
  <c r="U344" i="1"/>
  <c r="T344" i="1"/>
  <c r="S344" i="1"/>
  <c r="R344" i="1"/>
  <c r="U343" i="1"/>
  <c r="T343" i="1"/>
  <c r="S343" i="1"/>
  <c r="R343" i="1"/>
  <c r="U342" i="1"/>
  <c r="T342" i="1"/>
  <c r="S342" i="1"/>
  <c r="R342" i="1"/>
  <c r="U341" i="1"/>
  <c r="T341" i="1"/>
  <c r="S341" i="1"/>
  <c r="R341" i="1"/>
  <c r="U340" i="1"/>
  <c r="T340" i="1"/>
  <c r="S340" i="1"/>
  <c r="R340" i="1"/>
  <c r="U339" i="1"/>
  <c r="T339" i="1"/>
  <c r="S339" i="1"/>
  <c r="R339" i="1"/>
  <c r="U338" i="1"/>
  <c r="T338" i="1"/>
  <c r="S338" i="1"/>
  <c r="R338" i="1"/>
  <c r="U337" i="1"/>
  <c r="T337" i="1"/>
  <c r="S337" i="1"/>
  <c r="R337" i="1"/>
  <c r="U336" i="1"/>
  <c r="T336" i="1"/>
  <c r="S336" i="1"/>
  <c r="R336" i="1"/>
  <c r="U335" i="1"/>
  <c r="T335" i="1"/>
  <c r="S335" i="1"/>
  <c r="R335" i="1"/>
  <c r="U334" i="1"/>
  <c r="T334" i="1"/>
  <c r="S334" i="1"/>
  <c r="R334" i="1"/>
  <c r="U333" i="1"/>
  <c r="T333" i="1"/>
  <c r="S333" i="1"/>
  <c r="R333" i="1"/>
  <c r="U332" i="1"/>
  <c r="T332" i="1"/>
  <c r="S332" i="1"/>
  <c r="R332" i="1"/>
  <c r="U331" i="1"/>
  <c r="T331" i="1"/>
  <c r="S331" i="1"/>
  <c r="R331" i="1"/>
  <c r="U330" i="1"/>
  <c r="T330" i="1"/>
  <c r="S330" i="1"/>
  <c r="R330" i="1"/>
  <c r="U329" i="1"/>
  <c r="T329" i="1"/>
  <c r="S329" i="1"/>
  <c r="R329" i="1"/>
  <c r="U328" i="1"/>
  <c r="T328" i="1"/>
  <c r="S328" i="1"/>
  <c r="R328" i="1"/>
  <c r="U327" i="1"/>
  <c r="T327" i="1"/>
  <c r="S327" i="1"/>
  <c r="R327" i="1"/>
  <c r="U326" i="1"/>
  <c r="T326" i="1"/>
  <c r="S326" i="1"/>
  <c r="R326" i="1"/>
  <c r="U325" i="1"/>
  <c r="T325" i="1"/>
  <c r="S325" i="1"/>
  <c r="R325" i="1"/>
  <c r="U324" i="1"/>
  <c r="T324" i="1"/>
  <c r="S324" i="1"/>
  <c r="R324" i="1"/>
  <c r="U323" i="1"/>
  <c r="T323" i="1"/>
  <c r="S323" i="1"/>
  <c r="R323" i="1"/>
  <c r="U322" i="1"/>
  <c r="T322" i="1"/>
  <c r="S322" i="1"/>
  <c r="R322" i="1"/>
  <c r="U321" i="1"/>
  <c r="T321" i="1"/>
  <c r="S321" i="1"/>
  <c r="R321" i="1"/>
  <c r="U320" i="1"/>
  <c r="T320" i="1"/>
  <c r="S320" i="1"/>
  <c r="R320" i="1"/>
  <c r="U319" i="1"/>
  <c r="T319" i="1"/>
  <c r="S319" i="1"/>
  <c r="R319" i="1"/>
  <c r="U318" i="1"/>
  <c r="T318" i="1"/>
  <c r="S318" i="1"/>
  <c r="R318" i="1"/>
  <c r="U317" i="1"/>
  <c r="T317" i="1"/>
  <c r="S317" i="1"/>
  <c r="R317" i="1"/>
  <c r="U316" i="1"/>
  <c r="T316" i="1"/>
  <c r="S316" i="1"/>
  <c r="R316" i="1"/>
  <c r="U315" i="1"/>
  <c r="T315" i="1"/>
  <c r="S315" i="1"/>
  <c r="R315" i="1"/>
  <c r="U314" i="1"/>
  <c r="T314" i="1"/>
  <c r="S314" i="1"/>
  <c r="R314" i="1"/>
  <c r="U313" i="1"/>
  <c r="T313" i="1"/>
  <c r="S313" i="1"/>
  <c r="R313" i="1"/>
  <c r="U312" i="1"/>
  <c r="T312" i="1"/>
  <c r="S312" i="1"/>
  <c r="R312" i="1"/>
  <c r="U311" i="1"/>
  <c r="T311" i="1"/>
  <c r="S311" i="1"/>
  <c r="R311" i="1"/>
  <c r="U310" i="1"/>
  <c r="T310" i="1"/>
  <c r="S310" i="1"/>
  <c r="R310" i="1"/>
  <c r="U309" i="1"/>
  <c r="T309" i="1"/>
  <c r="S309" i="1"/>
  <c r="R309" i="1"/>
  <c r="U308" i="1"/>
  <c r="T308" i="1"/>
  <c r="S308" i="1"/>
  <c r="R308" i="1"/>
  <c r="U307" i="1"/>
  <c r="T307" i="1"/>
  <c r="S307" i="1"/>
  <c r="R307" i="1"/>
  <c r="U306" i="1"/>
  <c r="T306" i="1"/>
  <c r="S306" i="1"/>
  <c r="R306" i="1"/>
  <c r="U305" i="1"/>
  <c r="T305" i="1"/>
  <c r="S305" i="1"/>
  <c r="R305" i="1"/>
  <c r="U304" i="1"/>
  <c r="T304" i="1"/>
  <c r="S304" i="1"/>
  <c r="R304" i="1"/>
  <c r="U303" i="1"/>
  <c r="T303" i="1"/>
  <c r="S303" i="1"/>
  <c r="R303" i="1"/>
  <c r="U302" i="1"/>
  <c r="T302" i="1"/>
  <c r="S302" i="1"/>
  <c r="R302" i="1"/>
  <c r="U301" i="1"/>
  <c r="T301" i="1"/>
  <c r="S301" i="1"/>
  <c r="R301" i="1"/>
  <c r="U300" i="1"/>
  <c r="T300" i="1"/>
  <c r="S300" i="1"/>
  <c r="R300" i="1"/>
  <c r="U299" i="1"/>
  <c r="T299" i="1"/>
  <c r="S299" i="1"/>
  <c r="R299" i="1"/>
  <c r="U298" i="1"/>
  <c r="T298" i="1"/>
  <c r="S298" i="1"/>
  <c r="R298" i="1"/>
  <c r="U297" i="1"/>
  <c r="T297" i="1"/>
  <c r="S297" i="1"/>
  <c r="R297" i="1"/>
  <c r="U296" i="1"/>
  <c r="T296" i="1"/>
  <c r="S296" i="1"/>
  <c r="R296" i="1"/>
  <c r="U295" i="1"/>
  <c r="T295" i="1"/>
  <c r="S295" i="1"/>
  <c r="R295" i="1"/>
  <c r="U294" i="1"/>
  <c r="T294" i="1"/>
  <c r="S294" i="1"/>
  <c r="R294" i="1"/>
  <c r="U293" i="1"/>
  <c r="T293" i="1"/>
  <c r="S293" i="1"/>
  <c r="R293" i="1"/>
  <c r="U292" i="1"/>
  <c r="T292" i="1"/>
  <c r="S292" i="1"/>
  <c r="R292" i="1"/>
  <c r="U291" i="1"/>
  <c r="T291" i="1"/>
  <c r="S291" i="1"/>
  <c r="R291" i="1"/>
  <c r="U290" i="1"/>
  <c r="T290" i="1"/>
  <c r="S290" i="1"/>
  <c r="R290" i="1"/>
  <c r="U289" i="1"/>
  <c r="T289" i="1"/>
  <c r="S289" i="1"/>
  <c r="R289" i="1"/>
  <c r="U288" i="1"/>
  <c r="T288" i="1"/>
  <c r="S288" i="1"/>
  <c r="R288" i="1"/>
  <c r="U287" i="1"/>
  <c r="T287" i="1"/>
  <c r="S287" i="1"/>
  <c r="R287" i="1"/>
  <c r="U286" i="1"/>
  <c r="T286" i="1"/>
  <c r="S286" i="1"/>
  <c r="R286" i="1"/>
  <c r="U285" i="1"/>
  <c r="T285" i="1"/>
  <c r="S285" i="1"/>
  <c r="R285" i="1"/>
  <c r="U284" i="1"/>
  <c r="T284" i="1"/>
  <c r="S284" i="1"/>
  <c r="R284" i="1"/>
  <c r="U283" i="1"/>
  <c r="T283" i="1"/>
  <c r="S283" i="1"/>
  <c r="R283" i="1"/>
  <c r="U282" i="1"/>
  <c r="T282" i="1"/>
  <c r="S282" i="1"/>
  <c r="R282" i="1"/>
  <c r="U281" i="1"/>
  <c r="T281" i="1"/>
  <c r="S281" i="1"/>
  <c r="R281" i="1"/>
  <c r="U280" i="1"/>
  <c r="T280" i="1"/>
  <c r="S280" i="1"/>
  <c r="R280" i="1"/>
  <c r="U279" i="1"/>
  <c r="T279" i="1"/>
  <c r="S279" i="1"/>
  <c r="R279" i="1"/>
  <c r="U278" i="1"/>
  <c r="T278" i="1"/>
  <c r="S278" i="1"/>
  <c r="R278" i="1"/>
  <c r="U277" i="1"/>
  <c r="T277" i="1"/>
  <c r="S277" i="1"/>
  <c r="R277" i="1"/>
  <c r="U276" i="1"/>
  <c r="T276" i="1"/>
  <c r="S276" i="1"/>
  <c r="R276" i="1"/>
  <c r="U275" i="1"/>
  <c r="T275" i="1"/>
  <c r="S275" i="1"/>
  <c r="R275" i="1"/>
  <c r="U274" i="1"/>
  <c r="T274" i="1"/>
  <c r="S274" i="1"/>
  <c r="R274" i="1"/>
  <c r="U273" i="1"/>
  <c r="T273" i="1"/>
  <c r="S273" i="1"/>
  <c r="R273" i="1"/>
  <c r="U272" i="1"/>
  <c r="T272" i="1"/>
  <c r="S272" i="1"/>
  <c r="R272" i="1"/>
  <c r="U271" i="1"/>
  <c r="T271" i="1"/>
  <c r="S271" i="1"/>
  <c r="R271" i="1"/>
  <c r="U270" i="1"/>
  <c r="T270" i="1"/>
  <c r="S270" i="1"/>
  <c r="R270" i="1"/>
  <c r="U269" i="1"/>
  <c r="T269" i="1"/>
  <c r="S269" i="1"/>
  <c r="R269" i="1"/>
  <c r="U268" i="1"/>
  <c r="T268" i="1"/>
  <c r="S268" i="1"/>
  <c r="R268" i="1"/>
  <c r="U267" i="1"/>
  <c r="T267" i="1"/>
  <c r="S267" i="1"/>
  <c r="R267" i="1"/>
  <c r="U266" i="1"/>
  <c r="T266" i="1"/>
  <c r="S266" i="1"/>
  <c r="R266" i="1"/>
  <c r="U265" i="1"/>
  <c r="T265" i="1"/>
  <c r="S265" i="1"/>
  <c r="R265" i="1"/>
  <c r="U264" i="1"/>
  <c r="T264" i="1"/>
  <c r="S264" i="1"/>
  <c r="R264" i="1"/>
  <c r="U263" i="1"/>
  <c r="T263" i="1"/>
  <c r="S263" i="1"/>
  <c r="R263" i="1"/>
  <c r="U262" i="1"/>
  <c r="T262" i="1"/>
  <c r="S262" i="1"/>
  <c r="R262" i="1"/>
  <c r="U261" i="1"/>
  <c r="T261" i="1"/>
  <c r="S261" i="1"/>
  <c r="R261" i="1"/>
  <c r="U260" i="1"/>
  <c r="T260" i="1"/>
  <c r="S260" i="1"/>
  <c r="R260" i="1"/>
  <c r="U259" i="1"/>
  <c r="T259" i="1"/>
  <c r="S259" i="1"/>
  <c r="R259" i="1"/>
  <c r="U258" i="1"/>
  <c r="T258" i="1"/>
  <c r="S258" i="1"/>
  <c r="R258" i="1"/>
  <c r="U257" i="1"/>
  <c r="T257" i="1"/>
  <c r="S257" i="1"/>
  <c r="R257" i="1"/>
  <c r="U256" i="1"/>
  <c r="T256" i="1"/>
  <c r="S256" i="1"/>
  <c r="R256" i="1"/>
  <c r="U255" i="1"/>
  <c r="T255" i="1"/>
  <c r="S255" i="1"/>
  <c r="R255" i="1"/>
  <c r="U254" i="1"/>
  <c r="T254" i="1"/>
  <c r="S254" i="1"/>
  <c r="R254" i="1"/>
  <c r="U253" i="1"/>
  <c r="T253" i="1"/>
  <c r="S253" i="1"/>
  <c r="R253" i="1"/>
  <c r="U252" i="1"/>
  <c r="T252" i="1"/>
  <c r="S252" i="1"/>
  <c r="R252" i="1"/>
  <c r="U251" i="1"/>
  <c r="T251" i="1"/>
  <c r="S251" i="1"/>
  <c r="R251" i="1"/>
  <c r="U250" i="1"/>
  <c r="T250" i="1"/>
  <c r="S250" i="1"/>
  <c r="R250" i="1"/>
  <c r="U249" i="1"/>
  <c r="T249" i="1"/>
  <c r="S249" i="1"/>
  <c r="R249" i="1"/>
  <c r="U248" i="1"/>
  <c r="T248" i="1"/>
  <c r="S248" i="1"/>
  <c r="R248" i="1"/>
  <c r="U247" i="1"/>
  <c r="T247" i="1"/>
  <c r="S247" i="1"/>
  <c r="R247" i="1"/>
  <c r="U246" i="1"/>
  <c r="T246" i="1"/>
  <c r="S246" i="1"/>
  <c r="R246" i="1"/>
  <c r="U245" i="1"/>
  <c r="T245" i="1"/>
  <c r="S245" i="1"/>
  <c r="R245" i="1"/>
  <c r="U244" i="1"/>
  <c r="T244" i="1"/>
  <c r="S244" i="1"/>
  <c r="R244" i="1"/>
  <c r="U243" i="1"/>
  <c r="T243" i="1"/>
  <c r="S243" i="1"/>
  <c r="R243" i="1"/>
  <c r="U242" i="1"/>
  <c r="T242" i="1"/>
  <c r="S242" i="1"/>
  <c r="R242" i="1"/>
  <c r="U241" i="1"/>
  <c r="T241" i="1"/>
  <c r="S241" i="1"/>
  <c r="R241" i="1"/>
  <c r="U240" i="1"/>
  <c r="T240" i="1"/>
  <c r="S240" i="1"/>
  <c r="R240" i="1"/>
  <c r="U239" i="1"/>
  <c r="T239" i="1"/>
  <c r="S239" i="1"/>
  <c r="R239" i="1"/>
  <c r="U238" i="1"/>
  <c r="T238" i="1"/>
  <c r="S238" i="1"/>
  <c r="R238" i="1"/>
  <c r="U237" i="1"/>
  <c r="T237" i="1"/>
  <c r="S237" i="1"/>
  <c r="R237" i="1"/>
  <c r="U236" i="1"/>
  <c r="T236" i="1"/>
  <c r="S236" i="1"/>
  <c r="R236" i="1"/>
  <c r="U235" i="1"/>
  <c r="T235" i="1"/>
  <c r="S235" i="1"/>
  <c r="R235" i="1"/>
  <c r="U234" i="1"/>
  <c r="T234" i="1"/>
  <c r="S234" i="1"/>
  <c r="R234" i="1"/>
  <c r="U233" i="1"/>
  <c r="T233" i="1"/>
  <c r="S233" i="1"/>
  <c r="R233" i="1"/>
  <c r="U232" i="1"/>
  <c r="T232" i="1"/>
  <c r="S232" i="1"/>
  <c r="R232" i="1"/>
  <c r="U231" i="1"/>
  <c r="T231" i="1"/>
  <c r="S231" i="1"/>
  <c r="R231" i="1"/>
  <c r="U230" i="1"/>
  <c r="T230" i="1"/>
  <c r="S230" i="1"/>
  <c r="R230" i="1"/>
  <c r="U229" i="1"/>
  <c r="T229" i="1"/>
  <c r="S229" i="1"/>
  <c r="R229" i="1"/>
  <c r="U228" i="1"/>
  <c r="T228" i="1"/>
  <c r="S228" i="1"/>
  <c r="R228" i="1"/>
  <c r="U227" i="1"/>
  <c r="T227" i="1"/>
  <c r="S227" i="1"/>
  <c r="R227" i="1"/>
  <c r="U226" i="1"/>
  <c r="T226" i="1"/>
  <c r="S226" i="1"/>
  <c r="R226" i="1"/>
  <c r="U225" i="1"/>
  <c r="T225" i="1"/>
  <c r="S225" i="1"/>
  <c r="R225" i="1"/>
  <c r="U224" i="1"/>
  <c r="T224" i="1"/>
  <c r="S224" i="1"/>
  <c r="R224" i="1"/>
  <c r="U223" i="1"/>
  <c r="T223" i="1"/>
  <c r="S223" i="1"/>
  <c r="R223" i="1"/>
  <c r="U222" i="1"/>
  <c r="T222" i="1"/>
  <c r="S222" i="1"/>
  <c r="R222" i="1"/>
  <c r="U221" i="1"/>
  <c r="T221" i="1"/>
  <c r="S221" i="1"/>
  <c r="R221" i="1"/>
  <c r="U220" i="1"/>
  <c r="T220" i="1"/>
  <c r="S220" i="1"/>
  <c r="R220" i="1"/>
  <c r="U219" i="1"/>
  <c r="T219" i="1"/>
  <c r="S219" i="1"/>
  <c r="R219" i="1"/>
  <c r="U218" i="1"/>
  <c r="T218" i="1"/>
  <c r="S218" i="1"/>
  <c r="R218" i="1"/>
  <c r="U217" i="1"/>
  <c r="T217" i="1"/>
  <c r="S217" i="1"/>
  <c r="R217" i="1"/>
  <c r="U216" i="1"/>
  <c r="T216" i="1"/>
  <c r="S216" i="1"/>
  <c r="R216" i="1"/>
  <c r="U215" i="1"/>
  <c r="T215" i="1"/>
  <c r="S215" i="1"/>
  <c r="R215" i="1"/>
  <c r="U214" i="1"/>
  <c r="T214" i="1"/>
  <c r="S214" i="1"/>
  <c r="R214" i="1"/>
  <c r="U213" i="1"/>
  <c r="T213" i="1"/>
  <c r="S213" i="1"/>
  <c r="R213" i="1"/>
  <c r="U212" i="1"/>
  <c r="T212" i="1"/>
  <c r="S212" i="1"/>
  <c r="R212" i="1"/>
  <c r="U211" i="1"/>
  <c r="T211" i="1"/>
  <c r="S211" i="1"/>
  <c r="R211" i="1"/>
  <c r="U210" i="1"/>
  <c r="T210" i="1"/>
  <c r="S210" i="1"/>
  <c r="R210" i="1"/>
  <c r="U209" i="1"/>
  <c r="T209" i="1"/>
  <c r="S209" i="1"/>
  <c r="R209" i="1"/>
  <c r="U208" i="1"/>
  <c r="T208" i="1"/>
  <c r="S208" i="1"/>
  <c r="R208" i="1"/>
  <c r="U207" i="1"/>
  <c r="T207" i="1"/>
  <c r="S207" i="1"/>
  <c r="R207" i="1"/>
  <c r="U206" i="1"/>
  <c r="T206" i="1"/>
  <c r="S206" i="1"/>
  <c r="R206" i="1"/>
  <c r="U205" i="1"/>
  <c r="T205" i="1"/>
  <c r="S205" i="1"/>
  <c r="R205" i="1"/>
  <c r="U204" i="1"/>
  <c r="T204" i="1"/>
  <c r="S204" i="1"/>
  <c r="R204" i="1"/>
  <c r="U203" i="1"/>
  <c r="T203" i="1"/>
  <c r="S203" i="1"/>
  <c r="R203" i="1"/>
  <c r="U202" i="1"/>
  <c r="T202" i="1"/>
  <c r="S202" i="1"/>
  <c r="R202" i="1"/>
  <c r="U201" i="1"/>
  <c r="T201" i="1"/>
  <c r="S201" i="1"/>
  <c r="R201" i="1"/>
  <c r="U200" i="1"/>
  <c r="T200" i="1"/>
  <c r="S200" i="1"/>
  <c r="R200" i="1"/>
  <c r="U199" i="1"/>
  <c r="T199" i="1"/>
  <c r="S199" i="1"/>
  <c r="R199" i="1"/>
  <c r="U198" i="1"/>
  <c r="T198" i="1"/>
  <c r="S198" i="1"/>
  <c r="R198" i="1"/>
  <c r="U197" i="1"/>
  <c r="T197" i="1"/>
  <c r="S197" i="1"/>
  <c r="R197" i="1"/>
  <c r="U196" i="1"/>
  <c r="T196" i="1"/>
  <c r="S196" i="1"/>
  <c r="R196" i="1"/>
  <c r="U195" i="1"/>
  <c r="T195" i="1"/>
  <c r="S195" i="1"/>
  <c r="R195" i="1"/>
  <c r="U194" i="1"/>
  <c r="T194" i="1"/>
  <c r="S194" i="1"/>
  <c r="R194" i="1"/>
  <c r="U193" i="1"/>
  <c r="T193" i="1"/>
  <c r="S193" i="1"/>
  <c r="R193" i="1"/>
  <c r="U192" i="1"/>
  <c r="T192" i="1"/>
  <c r="S192" i="1"/>
  <c r="R192" i="1"/>
  <c r="U191" i="1"/>
  <c r="T191" i="1"/>
  <c r="S191" i="1"/>
  <c r="R191" i="1"/>
  <c r="U190" i="1"/>
  <c r="T190" i="1"/>
  <c r="S190" i="1"/>
  <c r="R190" i="1"/>
  <c r="U189" i="1"/>
  <c r="T189" i="1"/>
  <c r="S189" i="1"/>
  <c r="R189" i="1"/>
  <c r="U188" i="1"/>
  <c r="T188" i="1"/>
  <c r="S188" i="1"/>
  <c r="R188" i="1"/>
  <c r="U187" i="1"/>
  <c r="T187" i="1"/>
  <c r="S187" i="1"/>
  <c r="R187" i="1"/>
  <c r="U186" i="1"/>
  <c r="T186" i="1"/>
  <c r="S186" i="1"/>
  <c r="R186" i="1"/>
  <c r="U185" i="1"/>
  <c r="T185" i="1"/>
  <c r="S185" i="1"/>
  <c r="R185" i="1"/>
  <c r="U184" i="1"/>
  <c r="T184" i="1"/>
  <c r="S184" i="1"/>
  <c r="R184" i="1"/>
  <c r="U183" i="1"/>
  <c r="T183" i="1"/>
  <c r="S183" i="1"/>
  <c r="R183" i="1"/>
  <c r="U182" i="1"/>
  <c r="T182" i="1"/>
  <c r="S182" i="1"/>
  <c r="R182" i="1"/>
  <c r="U181" i="1"/>
  <c r="T181" i="1"/>
  <c r="S181" i="1"/>
  <c r="R181" i="1"/>
  <c r="U180" i="1"/>
  <c r="T180" i="1"/>
  <c r="S180" i="1"/>
  <c r="R180" i="1"/>
  <c r="U179" i="1"/>
  <c r="T179" i="1"/>
  <c r="S179" i="1"/>
  <c r="R179" i="1"/>
  <c r="U178" i="1"/>
  <c r="T178" i="1"/>
  <c r="S178" i="1"/>
  <c r="R178" i="1"/>
  <c r="U177" i="1"/>
  <c r="T177" i="1"/>
  <c r="S177" i="1"/>
  <c r="R177" i="1"/>
  <c r="U176" i="1"/>
  <c r="T176" i="1"/>
  <c r="S176" i="1"/>
  <c r="R176" i="1"/>
  <c r="U175" i="1"/>
  <c r="T175" i="1"/>
  <c r="S175" i="1"/>
  <c r="R175" i="1"/>
  <c r="U174" i="1"/>
  <c r="T174" i="1"/>
  <c r="S174" i="1"/>
  <c r="R174" i="1"/>
  <c r="U173" i="1"/>
  <c r="T173" i="1"/>
  <c r="S173" i="1"/>
  <c r="R173" i="1"/>
  <c r="U172" i="1"/>
  <c r="T172" i="1"/>
  <c r="S172" i="1"/>
  <c r="R172" i="1"/>
  <c r="U171" i="1"/>
  <c r="T171" i="1"/>
  <c r="S171" i="1"/>
  <c r="R171" i="1"/>
  <c r="U170" i="1"/>
  <c r="T170" i="1"/>
  <c r="S170" i="1"/>
  <c r="R170" i="1"/>
  <c r="U169" i="1"/>
  <c r="T169" i="1"/>
  <c r="S169" i="1"/>
  <c r="R169" i="1"/>
  <c r="U168" i="1"/>
  <c r="T168" i="1"/>
  <c r="S168" i="1"/>
  <c r="R168" i="1"/>
  <c r="U167" i="1"/>
  <c r="T167" i="1"/>
  <c r="S167" i="1"/>
  <c r="R167" i="1"/>
  <c r="U166" i="1"/>
  <c r="T166" i="1"/>
  <c r="S166" i="1"/>
  <c r="R166" i="1"/>
  <c r="U165" i="1"/>
  <c r="T165" i="1"/>
  <c r="S165" i="1"/>
  <c r="R165" i="1"/>
  <c r="U164" i="1"/>
  <c r="T164" i="1"/>
  <c r="S164" i="1"/>
  <c r="R164" i="1"/>
  <c r="U163" i="1"/>
  <c r="T163" i="1"/>
  <c r="S163" i="1"/>
  <c r="R163" i="1"/>
  <c r="U162" i="1"/>
  <c r="T162" i="1"/>
  <c r="S162" i="1"/>
  <c r="R162" i="1"/>
  <c r="U161" i="1"/>
  <c r="T161" i="1"/>
  <c r="S161" i="1"/>
  <c r="R161" i="1"/>
  <c r="U160" i="1"/>
  <c r="T160" i="1"/>
  <c r="S160" i="1"/>
  <c r="R160" i="1"/>
  <c r="U159" i="1"/>
  <c r="T159" i="1"/>
  <c r="S159" i="1"/>
  <c r="R159" i="1"/>
  <c r="U158" i="1"/>
  <c r="T158" i="1"/>
  <c r="S158" i="1"/>
  <c r="R158" i="1"/>
  <c r="U157" i="1"/>
  <c r="T157" i="1"/>
  <c r="S157" i="1"/>
  <c r="R157" i="1"/>
  <c r="U156" i="1"/>
  <c r="T156" i="1"/>
  <c r="S156" i="1"/>
  <c r="R156" i="1"/>
  <c r="U155" i="1"/>
  <c r="T155" i="1"/>
  <c r="S155" i="1"/>
  <c r="R155" i="1"/>
  <c r="U154" i="1"/>
  <c r="T154" i="1"/>
  <c r="S154" i="1"/>
  <c r="R154" i="1"/>
  <c r="U153" i="1"/>
  <c r="T153" i="1"/>
  <c r="S153" i="1"/>
  <c r="R153" i="1"/>
  <c r="U152" i="1"/>
  <c r="T152" i="1"/>
  <c r="S152" i="1"/>
  <c r="R152" i="1"/>
  <c r="U151" i="1"/>
  <c r="T151" i="1"/>
  <c r="S151" i="1"/>
  <c r="R151" i="1"/>
  <c r="U150" i="1"/>
  <c r="T150" i="1"/>
  <c r="S150" i="1"/>
  <c r="R150" i="1"/>
  <c r="U149" i="1"/>
  <c r="T149" i="1"/>
  <c r="S149" i="1"/>
  <c r="R149" i="1"/>
  <c r="U148" i="1"/>
  <c r="T148" i="1"/>
  <c r="S148" i="1"/>
  <c r="R148" i="1"/>
  <c r="U147" i="1"/>
  <c r="T147" i="1"/>
  <c r="S147" i="1"/>
  <c r="R147" i="1"/>
  <c r="U146" i="1"/>
  <c r="T146" i="1"/>
  <c r="S146" i="1"/>
  <c r="R146" i="1"/>
  <c r="U145" i="1"/>
  <c r="T145" i="1"/>
  <c r="S145" i="1"/>
  <c r="R145" i="1"/>
  <c r="U144" i="1"/>
  <c r="T144" i="1"/>
  <c r="S144" i="1"/>
  <c r="R144" i="1"/>
  <c r="U143" i="1"/>
  <c r="T143" i="1"/>
  <c r="S143" i="1"/>
  <c r="R143" i="1"/>
  <c r="U142" i="1"/>
  <c r="T142" i="1"/>
  <c r="S142" i="1"/>
  <c r="R142" i="1"/>
  <c r="U141" i="1"/>
  <c r="T141" i="1"/>
  <c r="S141" i="1"/>
  <c r="R141" i="1"/>
  <c r="U140" i="1"/>
  <c r="T140" i="1"/>
  <c r="S140" i="1"/>
  <c r="R140" i="1"/>
  <c r="U139" i="1"/>
  <c r="T139" i="1"/>
  <c r="S139" i="1"/>
  <c r="R139" i="1"/>
  <c r="U138" i="1"/>
  <c r="T138" i="1"/>
  <c r="S138" i="1"/>
  <c r="R138" i="1"/>
  <c r="U137" i="1"/>
  <c r="T137" i="1"/>
  <c r="S137" i="1"/>
  <c r="R137" i="1"/>
  <c r="U136" i="1"/>
  <c r="T136" i="1"/>
  <c r="S136" i="1"/>
  <c r="R136" i="1"/>
  <c r="U135" i="1"/>
  <c r="T135" i="1"/>
  <c r="S135" i="1"/>
  <c r="R135" i="1"/>
  <c r="U134" i="1"/>
  <c r="T134" i="1"/>
  <c r="S134" i="1"/>
  <c r="R134" i="1"/>
  <c r="U133" i="1"/>
  <c r="T133" i="1"/>
  <c r="S133" i="1"/>
  <c r="R133" i="1"/>
  <c r="U132" i="1"/>
  <c r="T132" i="1"/>
  <c r="S132" i="1"/>
  <c r="R132" i="1"/>
  <c r="U131" i="1"/>
  <c r="T131" i="1"/>
  <c r="S131" i="1"/>
  <c r="R131" i="1"/>
  <c r="U130" i="1"/>
  <c r="T130" i="1"/>
  <c r="S130" i="1"/>
  <c r="R130" i="1"/>
  <c r="U129" i="1"/>
  <c r="T129" i="1"/>
  <c r="S129" i="1"/>
  <c r="R129" i="1"/>
  <c r="U128" i="1"/>
  <c r="T128" i="1"/>
  <c r="S128" i="1"/>
  <c r="R128" i="1"/>
  <c r="U127" i="1"/>
  <c r="T127" i="1"/>
  <c r="S127" i="1"/>
  <c r="R127" i="1"/>
  <c r="U126" i="1"/>
  <c r="T126" i="1"/>
  <c r="S126" i="1"/>
  <c r="R126" i="1"/>
  <c r="U125" i="1"/>
  <c r="T125" i="1"/>
  <c r="S125" i="1"/>
  <c r="R125" i="1"/>
  <c r="U124" i="1"/>
  <c r="T124" i="1"/>
  <c r="S124" i="1"/>
  <c r="R124" i="1"/>
  <c r="U123" i="1"/>
  <c r="T123" i="1"/>
  <c r="S123" i="1"/>
  <c r="R123" i="1"/>
  <c r="U122" i="1"/>
  <c r="T122" i="1"/>
  <c r="S122" i="1"/>
  <c r="R122" i="1"/>
  <c r="U121" i="1"/>
  <c r="T121" i="1"/>
  <c r="S121" i="1"/>
  <c r="R121" i="1"/>
  <c r="U120" i="1"/>
  <c r="T120" i="1"/>
  <c r="S120" i="1"/>
  <c r="R120" i="1"/>
  <c r="U119" i="1"/>
  <c r="T119" i="1"/>
  <c r="S119" i="1"/>
  <c r="R119" i="1"/>
  <c r="U118" i="1"/>
  <c r="T118" i="1"/>
  <c r="S118" i="1"/>
  <c r="R118" i="1"/>
  <c r="U117" i="1"/>
  <c r="T117" i="1"/>
  <c r="S117" i="1"/>
  <c r="R117" i="1"/>
  <c r="U116" i="1"/>
  <c r="T116" i="1"/>
  <c r="S116" i="1"/>
  <c r="R116" i="1"/>
  <c r="U115" i="1"/>
  <c r="T115" i="1"/>
  <c r="S115" i="1"/>
  <c r="R115" i="1"/>
  <c r="U114" i="1"/>
  <c r="T114" i="1"/>
  <c r="S114" i="1"/>
  <c r="R114" i="1"/>
  <c r="U113" i="1"/>
  <c r="T113" i="1"/>
  <c r="S113" i="1"/>
  <c r="R113" i="1"/>
  <c r="U112" i="1"/>
  <c r="T112" i="1"/>
  <c r="S112" i="1"/>
  <c r="R112" i="1"/>
  <c r="U111" i="1"/>
  <c r="T111" i="1"/>
  <c r="S111" i="1"/>
  <c r="R111" i="1"/>
  <c r="U110" i="1"/>
  <c r="T110" i="1"/>
  <c r="S110" i="1"/>
  <c r="R110" i="1"/>
  <c r="U109" i="1"/>
  <c r="T109" i="1"/>
  <c r="S109" i="1"/>
  <c r="R109" i="1"/>
  <c r="U108" i="1"/>
  <c r="T108" i="1"/>
  <c r="S108" i="1"/>
  <c r="R108" i="1"/>
  <c r="U107" i="1"/>
  <c r="T107" i="1"/>
  <c r="S107" i="1"/>
  <c r="R107" i="1"/>
  <c r="U106" i="1"/>
  <c r="T106" i="1"/>
  <c r="S106" i="1"/>
  <c r="R106" i="1"/>
  <c r="U105" i="1"/>
  <c r="T105" i="1"/>
  <c r="S105" i="1"/>
  <c r="R105" i="1"/>
  <c r="U104" i="1"/>
  <c r="T104" i="1"/>
  <c r="S104" i="1"/>
  <c r="R104" i="1"/>
  <c r="U103" i="1"/>
  <c r="T103" i="1"/>
  <c r="S103" i="1"/>
  <c r="R103" i="1"/>
  <c r="U102" i="1"/>
  <c r="T102" i="1"/>
  <c r="S102" i="1"/>
  <c r="R102" i="1"/>
  <c r="U101" i="1"/>
  <c r="T101" i="1"/>
  <c r="S101" i="1"/>
  <c r="R101" i="1"/>
  <c r="U100" i="1"/>
  <c r="T100" i="1"/>
  <c r="S100" i="1"/>
  <c r="R100" i="1"/>
  <c r="U99" i="1"/>
  <c r="T99" i="1"/>
  <c r="S99" i="1"/>
  <c r="R99" i="1"/>
  <c r="U98" i="1"/>
  <c r="T98" i="1"/>
  <c r="S98" i="1"/>
  <c r="R98" i="1"/>
  <c r="U97" i="1"/>
  <c r="T97" i="1"/>
  <c r="S97" i="1"/>
  <c r="R97" i="1"/>
  <c r="U96" i="1"/>
  <c r="T96" i="1"/>
  <c r="S96" i="1"/>
  <c r="R96" i="1"/>
  <c r="U95" i="1"/>
  <c r="T95" i="1"/>
  <c r="S95" i="1"/>
  <c r="R95" i="1"/>
  <c r="U94" i="1"/>
  <c r="T94" i="1"/>
  <c r="S94" i="1"/>
  <c r="R94" i="1"/>
  <c r="U93" i="1"/>
  <c r="T93" i="1"/>
  <c r="S93" i="1"/>
  <c r="R93" i="1"/>
  <c r="U92" i="1"/>
  <c r="T92" i="1"/>
  <c r="S92" i="1"/>
  <c r="R92" i="1"/>
  <c r="U91" i="1"/>
  <c r="T91" i="1"/>
  <c r="S91" i="1"/>
  <c r="R91" i="1"/>
  <c r="U90" i="1"/>
  <c r="T90" i="1"/>
  <c r="S90" i="1"/>
  <c r="R90" i="1"/>
  <c r="U89" i="1"/>
  <c r="T89" i="1"/>
  <c r="S89" i="1"/>
  <c r="R89" i="1"/>
  <c r="U88" i="1"/>
  <c r="T88" i="1"/>
  <c r="S88" i="1"/>
  <c r="R88" i="1"/>
  <c r="U87" i="1"/>
  <c r="T87" i="1"/>
  <c r="S87" i="1"/>
  <c r="R87" i="1"/>
  <c r="U86" i="1"/>
  <c r="T86" i="1"/>
  <c r="S86" i="1"/>
  <c r="R86" i="1"/>
  <c r="U85" i="1"/>
  <c r="T85" i="1"/>
  <c r="S85" i="1"/>
  <c r="R85" i="1"/>
  <c r="U84" i="1"/>
  <c r="T84" i="1"/>
  <c r="S84" i="1"/>
  <c r="R84" i="1"/>
  <c r="U83" i="1"/>
  <c r="T83" i="1"/>
  <c r="S83" i="1"/>
  <c r="R83" i="1"/>
  <c r="U82" i="1"/>
  <c r="T82" i="1"/>
  <c r="S82" i="1"/>
  <c r="R82" i="1"/>
  <c r="U81" i="1"/>
  <c r="T81" i="1"/>
  <c r="S81" i="1"/>
  <c r="R81" i="1"/>
  <c r="U80" i="1"/>
  <c r="T80" i="1"/>
  <c r="S80" i="1"/>
  <c r="R80" i="1"/>
  <c r="U79" i="1"/>
  <c r="T79" i="1"/>
  <c r="S79" i="1"/>
  <c r="R79" i="1"/>
  <c r="U78" i="1"/>
  <c r="T78" i="1"/>
  <c r="S78" i="1"/>
  <c r="R78" i="1"/>
  <c r="U77" i="1"/>
  <c r="T77" i="1"/>
  <c r="S77" i="1"/>
  <c r="R77" i="1"/>
  <c r="U76" i="1"/>
  <c r="T76" i="1"/>
  <c r="S76" i="1"/>
  <c r="R76" i="1"/>
  <c r="U75" i="1"/>
  <c r="T75" i="1"/>
  <c r="S75" i="1"/>
  <c r="R75" i="1"/>
  <c r="U74" i="1"/>
  <c r="T74" i="1"/>
  <c r="S74" i="1"/>
  <c r="R74" i="1"/>
  <c r="U73" i="1"/>
  <c r="T73" i="1"/>
  <c r="S73" i="1"/>
  <c r="R73" i="1"/>
  <c r="U72" i="1"/>
  <c r="T72" i="1"/>
  <c r="S72" i="1"/>
  <c r="R72" i="1"/>
  <c r="U71" i="1"/>
  <c r="T71" i="1"/>
  <c r="S71" i="1"/>
  <c r="R71" i="1"/>
  <c r="U70" i="1"/>
  <c r="T70" i="1"/>
  <c r="S70" i="1"/>
  <c r="R70" i="1"/>
  <c r="U69" i="1"/>
  <c r="T69" i="1"/>
  <c r="S69" i="1"/>
  <c r="R69" i="1"/>
  <c r="U68" i="1"/>
  <c r="T68" i="1"/>
  <c r="S68" i="1"/>
  <c r="R68" i="1"/>
  <c r="U67" i="1"/>
  <c r="T67" i="1"/>
  <c r="S67" i="1"/>
  <c r="R67" i="1"/>
  <c r="U66" i="1"/>
  <c r="T66" i="1"/>
  <c r="S66" i="1"/>
  <c r="R66" i="1"/>
  <c r="U65" i="1"/>
  <c r="T65" i="1"/>
  <c r="S65" i="1"/>
  <c r="R65" i="1"/>
  <c r="U64" i="1"/>
  <c r="T64" i="1"/>
  <c r="S64" i="1"/>
  <c r="R64" i="1"/>
  <c r="U63" i="1"/>
  <c r="T63" i="1"/>
  <c r="S63" i="1"/>
  <c r="R63" i="1"/>
  <c r="U62" i="1"/>
  <c r="T62" i="1"/>
  <c r="S62" i="1"/>
  <c r="R62" i="1"/>
  <c r="U61" i="1"/>
  <c r="T61" i="1"/>
  <c r="S61" i="1"/>
  <c r="R61" i="1"/>
  <c r="U60" i="1"/>
  <c r="T60" i="1"/>
  <c r="S60" i="1"/>
  <c r="R60" i="1"/>
  <c r="U59" i="1"/>
  <c r="T59" i="1"/>
  <c r="S59" i="1"/>
  <c r="R59" i="1"/>
  <c r="U58" i="1"/>
  <c r="T58" i="1"/>
  <c r="S58" i="1"/>
  <c r="R58" i="1"/>
  <c r="U57" i="1"/>
  <c r="T57" i="1"/>
  <c r="S57" i="1"/>
  <c r="R57" i="1"/>
  <c r="U56" i="1"/>
  <c r="T56" i="1"/>
  <c r="S56" i="1"/>
  <c r="R56" i="1"/>
  <c r="U55" i="1"/>
  <c r="T55" i="1"/>
  <c r="S55" i="1"/>
  <c r="R55" i="1"/>
  <c r="U54" i="1"/>
  <c r="T54" i="1"/>
  <c r="S54" i="1"/>
  <c r="R54" i="1"/>
  <c r="U53" i="1"/>
  <c r="T53" i="1"/>
  <c r="S53" i="1"/>
  <c r="R53" i="1"/>
  <c r="U52" i="1"/>
  <c r="T52" i="1"/>
  <c r="S52" i="1"/>
  <c r="R52" i="1"/>
  <c r="U51" i="1"/>
  <c r="T51" i="1"/>
  <c r="S51" i="1"/>
  <c r="R51" i="1"/>
  <c r="U50" i="1"/>
  <c r="T50" i="1"/>
  <c r="S50" i="1"/>
  <c r="R50" i="1"/>
  <c r="U49" i="1"/>
  <c r="T49" i="1"/>
  <c r="S49" i="1"/>
  <c r="R49" i="1"/>
  <c r="U48" i="1"/>
  <c r="T48" i="1"/>
  <c r="S48" i="1"/>
  <c r="R48" i="1"/>
  <c r="U47" i="1"/>
  <c r="T47" i="1"/>
  <c r="S47" i="1"/>
  <c r="R47" i="1"/>
  <c r="U46" i="1"/>
  <c r="T46" i="1"/>
  <c r="S46" i="1"/>
  <c r="R46" i="1"/>
  <c r="U45" i="1"/>
  <c r="T45" i="1"/>
  <c r="S45" i="1"/>
  <c r="R45" i="1"/>
  <c r="U44" i="1"/>
  <c r="T44" i="1"/>
  <c r="S44" i="1"/>
  <c r="R44" i="1"/>
  <c r="U43" i="1"/>
  <c r="T43" i="1"/>
  <c r="S43" i="1"/>
  <c r="R43" i="1"/>
  <c r="U42" i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U32" i="1"/>
  <c r="T32" i="1"/>
  <c r="S32" i="1"/>
  <c r="R32" i="1"/>
  <c r="U31" i="1"/>
  <c r="T31" i="1"/>
  <c r="S31" i="1"/>
  <c r="R31" i="1"/>
  <c r="U30" i="1"/>
  <c r="T30" i="1"/>
  <c r="S30" i="1"/>
  <c r="R30" i="1"/>
  <c r="U29" i="1"/>
  <c r="T29" i="1"/>
  <c r="S29" i="1"/>
  <c r="R29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U23" i="1"/>
  <c r="T23" i="1"/>
  <c r="S23" i="1"/>
  <c r="R23" i="1"/>
  <c r="U22" i="1"/>
  <c r="T22" i="1"/>
  <c r="S22" i="1"/>
  <c r="R22" i="1"/>
  <c r="U21" i="1"/>
  <c r="T21" i="1"/>
  <c r="S21" i="1"/>
  <c r="R21" i="1"/>
  <c r="U20" i="1"/>
  <c r="T20" i="1"/>
  <c r="S20" i="1"/>
  <c r="R20" i="1"/>
  <c r="U19" i="1"/>
  <c r="T19" i="1"/>
  <c r="S19" i="1"/>
  <c r="R19" i="1"/>
  <c r="U18" i="1"/>
  <c r="T18" i="1"/>
  <c r="S18" i="1"/>
  <c r="R18" i="1"/>
  <c r="U17" i="1"/>
  <c r="T17" i="1"/>
  <c r="S17" i="1"/>
  <c r="R17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T8" i="1"/>
  <c r="S8" i="1"/>
  <c r="R8" i="1"/>
  <c r="U7" i="1"/>
  <c r="T7" i="1"/>
  <c r="S7" i="1"/>
  <c r="R7" i="1"/>
  <c r="U6" i="1"/>
  <c r="T6" i="1"/>
  <c r="S6" i="1"/>
  <c r="R6" i="1"/>
  <c r="U5" i="1"/>
  <c r="T5" i="1"/>
  <c r="S5" i="1"/>
  <c r="R5" i="1"/>
  <c r="U4" i="1"/>
  <c r="T4" i="1"/>
  <c r="S4" i="1"/>
  <c r="R4" i="1"/>
  <c r="U3" i="1"/>
  <c r="T3" i="1"/>
  <c r="S3" i="1"/>
  <c r="R3" i="1"/>
  <c r="U2" i="1"/>
  <c r="T2" i="1"/>
  <c r="S2" i="1"/>
  <c r="R2" i="1"/>
</calcChain>
</file>

<file path=xl/sharedStrings.xml><?xml version="1.0" encoding="utf-8"?>
<sst xmlns="http://schemas.openxmlformats.org/spreadsheetml/2006/main" count="7021" uniqueCount="1040">
  <si>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</si>
  <si>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</si>
  <si>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</si>
  <si>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</si>
  <si>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</si>
  <si>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</si>
  <si>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</si>
  <si>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</si>
  <si>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</si>
  <si>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</si>
  <si>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</si>
  <si>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</si>
  <si>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</si>
  <si>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</si>
  <si>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</si>
  <si>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</si>
  <si>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</si>
  <si>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Revenue</t>
  </si>
  <si>
    <t>Month_Name</t>
  </si>
  <si>
    <t>Month_No</t>
  </si>
  <si>
    <t>Day_Name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</si>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</sst>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MMK]\ 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7A11-207C-604B-9752-E3D7A54409BB}">
  <dimension ref="A1:U1001"/>
  <sheetViews>
    <sheetView tabSelected="1" workbookViewId="0">
      <selection sqref="A1:XFD1048576"/>
    </sheetView>
  </sheetViews>
  <sheetFormatPr baseColWidth="10" defaultRowHeight="16" x14ac:dyDescent="0.2"/>
  <cols>
    <col min="1" max="1" width="18.5" customWidth="1"/>
    <col min="6" max="6" width="20.33203125" customWidth="1"/>
    <col min="7" max="7" width="17.83203125" customWidth="1"/>
    <col min="11" max="11" width="30.83203125" style="1" customWidth="1"/>
    <col min="12" max="12" width="14.33203125" style="2" customWidth="1"/>
    <col min="15" max="15" width="26" customWidth="1"/>
    <col min="16" max="16" width="16.5" customWidth="1"/>
    <col min="18" max="18" width="10.83203125" style="3"/>
    <col min="19" max="19" width="13.1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27</v>
      </c>
      <c r="N2">
        <v>522.83000000000004</v>
      </c>
      <c r="O2">
        <v>4.7619047620000003</v>
      </c>
      <c r="P2">
        <v>26.141500000000001</v>
      </c>
      <c r="Q2">
        <v>9.1</v>
      </c>
      <c r="R2" s="3">
        <f>H2*G2</f>
        <v>522.82999999999993</v>
      </c>
      <c r="S2" t="str">
        <f>TEXT(K2,"mmmm")</f>
        <v>May</v>
      </c>
      <c r="T2">
        <f>MONTH(K2)</f>
        <v>5</v>
      </c>
      <c r="U2" t="str">
        <f>TEXT(K2,"dddd")</f>
        <v>Wednesday</v>
      </c>
    </row>
    <row r="3" spans="1:21" x14ac:dyDescent="0.2">
      <c r="A3" t="s">
        <v>28</v>
      </c>
      <c r="B3" t="s">
        <v>29</v>
      </c>
      <c r="C3" t="s">
        <v>30</v>
      </c>
      <c r="D3" t="s">
        <v>31</v>
      </c>
      <c r="E3" t="s">
        <v>25</v>
      </c>
      <c r="F3" t="s">
        <v>32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33</v>
      </c>
      <c r="N3">
        <v>76.400000000000006</v>
      </c>
      <c r="O3">
        <v>4.7619047620000003</v>
      </c>
      <c r="P3">
        <v>3.82</v>
      </c>
      <c r="Q3">
        <v>9.6</v>
      </c>
      <c r="R3" s="3">
        <f t="shared" ref="R3:R66" si="0">H3*G3</f>
        <v>76.399999999999991</v>
      </c>
      <c r="S3" t="str">
        <f t="shared" ref="S3:S66" si="1">TEXT(K3,"mmmm")</f>
        <v>August</v>
      </c>
      <c r="T3">
        <f t="shared" ref="T3:T66" si="2">MONTH(K3)</f>
        <v>8</v>
      </c>
      <c r="U3" t="str">
        <f t="shared" ref="U3:U66" si="3">TEXT(K3,"dddd")</f>
        <v>Saturday</v>
      </c>
    </row>
    <row r="4" spans="1:21" x14ac:dyDescent="0.2">
      <c r="A4" t="s">
        <v>34</v>
      </c>
      <c r="B4" t="s">
        <v>22</v>
      </c>
      <c r="C4" t="s">
        <v>23</v>
      </c>
      <c r="D4" t="s">
        <v>31</v>
      </c>
      <c r="E4" t="s">
        <v>25</v>
      </c>
      <c r="F4" t="s">
        <v>35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  <c r="R4" s="3">
        <f t="shared" si="0"/>
        <v>324.31</v>
      </c>
      <c r="S4" t="str">
        <f t="shared" si="1"/>
        <v>March</v>
      </c>
      <c r="T4">
        <f t="shared" si="2"/>
        <v>3</v>
      </c>
      <c r="U4" t="str">
        <f t="shared" si="3"/>
        <v>Sunday</v>
      </c>
    </row>
    <row r="5" spans="1:21" x14ac:dyDescent="0.2">
      <c r="A5" t="s">
        <v>37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27</v>
      </c>
      <c r="N5">
        <v>465.76</v>
      </c>
      <c r="O5">
        <v>4.7619047620000003</v>
      </c>
      <c r="P5">
        <v>23.288</v>
      </c>
      <c r="Q5">
        <v>8.4</v>
      </c>
      <c r="R5" s="3">
        <f t="shared" si="0"/>
        <v>465.76</v>
      </c>
      <c r="S5" t="str">
        <f t="shared" si="1"/>
        <v>January</v>
      </c>
      <c r="T5">
        <f t="shared" si="2"/>
        <v>1</v>
      </c>
      <c r="U5" t="str">
        <f t="shared" si="3"/>
        <v>Sunday</v>
      </c>
    </row>
    <row r="6" spans="1:21" x14ac:dyDescent="0.2">
      <c r="A6" t="s">
        <v>38</v>
      </c>
      <c r="B6" t="s">
        <v>22</v>
      </c>
      <c r="C6" t="s">
        <v>23</v>
      </c>
      <c r="D6" t="s">
        <v>24</v>
      </c>
      <c r="E6" t="s">
        <v>25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27</v>
      </c>
      <c r="N6">
        <v>604.16999999999996</v>
      </c>
      <c r="O6">
        <v>4.7619047620000003</v>
      </c>
      <c r="P6">
        <v>30.208500000000001</v>
      </c>
      <c r="Q6">
        <v>5.3</v>
      </c>
      <c r="R6" s="3">
        <f t="shared" si="0"/>
        <v>604.17000000000007</v>
      </c>
      <c r="S6" t="str">
        <f t="shared" si="1"/>
        <v>August</v>
      </c>
      <c r="T6">
        <f t="shared" si="2"/>
        <v>8</v>
      </c>
      <c r="U6" t="str">
        <f t="shared" si="3"/>
        <v>Friday</v>
      </c>
    </row>
    <row r="7" spans="1:21" x14ac:dyDescent="0.2">
      <c r="A7" t="s">
        <v>40</v>
      </c>
      <c r="B7" t="s">
        <v>29</v>
      </c>
      <c r="C7" t="s">
        <v>30</v>
      </c>
      <c r="D7" t="s">
        <v>24</v>
      </c>
      <c r="E7" t="s">
        <v>25</v>
      </c>
      <c r="F7" t="s">
        <v>32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27</v>
      </c>
      <c r="N7">
        <v>597.73</v>
      </c>
      <c r="O7">
        <v>4.7619047620000003</v>
      </c>
      <c r="P7">
        <v>29.886500000000002</v>
      </c>
      <c r="Q7">
        <v>4.0999999999999996</v>
      </c>
      <c r="R7" s="3">
        <f t="shared" si="0"/>
        <v>597.73</v>
      </c>
      <c r="S7" t="str">
        <f t="shared" si="1"/>
        <v>March</v>
      </c>
      <c r="T7">
        <f t="shared" si="2"/>
        <v>3</v>
      </c>
      <c r="U7" t="str">
        <f t="shared" si="3"/>
        <v>Monday</v>
      </c>
    </row>
    <row r="8" spans="1:21" x14ac:dyDescent="0.2">
      <c r="A8" t="s">
        <v>41</v>
      </c>
      <c r="B8" t="s">
        <v>22</v>
      </c>
      <c r="C8" t="s">
        <v>23</v>
      </c>
      <c r="D8" t="s">
        <v>24</v>
      </c>
      <c r="E8" t="s">
        <v>25</v>
      </c>
      <c r="F8" t="s">
        <v>32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27</v>
      </c>
      <c r="N8">
        <v>413.04</v>
      </c>
      <c r="O8">
        <v>4.7619047620000003</v>
      </c>
      <c r="P8">
        <v>20.652000000000001</v>
      </c>
      <c r="Q8">
        <v>5.8</v>
      </c>
      <c r="R8" s="3">
        <f t="shared" si="0"/>
        <v>413.04</v>
      </c>
      <c r="S8" t="str">
        <f t="shared" si="1"/>
        <v>February</v>
      </c>
      <c r="T8">
        <f t="shared" si="2"/>
        <v>2</v>
      </c>
      <c r="U8" t="str">
        <f t="shared" si="3"/>
        <v>Monday</v>
      </c>
    </row>
    <row r="9" spans="1:21" x14ac:dyDescent="0.2">
      <c r="A9" t="s">
        <v>42</v>
      </c>
      <c r="B9" t="s">
        <v>29</v>
      </c>
      <c r="C9" t="s">
        <v>30</v>
      </c>
      <c r="D9" t="s">
        <v>24</v>
      </c>
      <c r="E9" t="s">
        <v>25</v>
      </c>
      <c r="F9" t="s">
        <v>35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27</v>
      </c>
      <c r="N9">
        <v>735.6</v>
      </c>
      <c r="O9">
        <v>4.7619047620000003</v>
      </c>
      <c r="P9">
        <v>36.78</v>
      </c>
      <c r="Q9">
        <v>8</v>
      </c>
      <c r="R9" s="3">
        <f t="shared" si="0"/>
        <v>735.6</v>
      </c>
      <c r="S9" t="str">
        <f t="shared" si="1"/>
        <v>February</v>
      </c>
      <c r="T9">
        <f t="shared" si="2"/>
        <v>2</v>
      </c>
      <c r="U9" t="str">
        <f t="shared" si="3"/>
        <v>Sunday</v>
      </c>
    </row>
    <row r="10" spans="1:21" x14ac:dyDescent="0.2">
      <c r="A10" t="s">
        <v>43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  <c r="R10" s="3">
        <f t="shared" si="0"/>
        <v>72.52</v>
      </c>
      <c r="S10" t="str">
        <f t="shared" si="1"/>
        <v>October</v>
      </c>
      <c r="T10">
        <f t="shared" si="2"/>
        <v>10</v>
      </c>
      <c r="U10" t="str">
        <f t="shared" si="3"/>
        <v>Tuesday</v>
      </c>
    </row>
    <row r="11" spans="1:21" x14ac:dyDescent="0.2">
      <c r="A11" t="s">
        <v>44</v>
      </c>
      <c r="B11" t="s">
        <v>45</v>
      </c>
      <c r="C11" t="s">
        <v>46</v>
      </c>
      <c r="D11" t="s">
        <v>24</v>
      </c>
      <c r="E11" t="s">
        <v>25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  <c r="R11" s="3">
        <f t="shared" si="0"/>
        <v>164.52</v>
      </c>
      <c r="S11" t="str">
        <f t="shared" si="1"/>
        <v>February</v>
      </c>
      <c r="T11">
        <f t="shared" si="2"/>
        <v>2</v>
      </c>
      <c r="U11" t="str">
        <f t="shared" si="3"/>
        <v>Wednesday</v>
      </c>
    </row>
    <row r="12" spans="1:21" x14ac:dyDescent="0.2">
      <c r="A12" t="s">
        <v>48</v>
      </c>
      <c r="B12" t="s">
        <v>45</v>
      </c>
      <c r="C12" t="s">
        <v>46</v>
      </c>
      <c r="D12" t="s">
        <v>24</v>
      </c>
      <c r="E12" t="s">
        <v>25</v>
      </c>
      <c r="F12" t="s">
        <v>49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27</v>
      </c>
      <c r="N12">
        <v>57.92</v>
      </c>
      <c r="O12">
        <v>4.7619047620000003</v>
      </c>
      <c r="P12">
        <v>2.8959999999999999</v>
      </c>
      <c r="Q12">
        <v>4.5</v>
      </c>
      <c r="R12" s="3">
        <f t="shared" si="0"/>
        <v>57.92</v>
      </c>
      <c r="S12" t="str">
        <f t="shared" si="1"/>
        <v>June</v>
      </c>
      <c r="T12">
        <f t="shared" si="2"/>
        <v>6</v>
      </c>
      <c r="U12" t="str">
        <f t="shared" si="3"/>
        <v>Sunday</v>
      </c>
    </row>
    <row r="13" spans="1:21" x14ac:dyDescent="0.2">
      <c r="A13" t="s">
        <v>50</v>
      </c>
      <c r="B13" t="s">
        <v>45</v>
      </c>
      <c r="C13" t="s">
        <v>46</v>
      </c>
      <c r="D13" t="s">
        <v>24</v>
      </c>
      <c r="E13" t="s">
        <v>25</v>
      </c>
      <c r="F13" t="s">
        <v>32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33</v>
      </c>
      <c r="N13">
        <v>102.04</v>
      </c>
      <c r="O13">
        <v>4.7619047620000003</v>
      </c>
      <c r="P13">
        <v>5.1020000000000003</v>
      </c>
      <c r="Q13">
        <v>6.8</v>
      </c>
      <c r="R13" s="3">
        <f t="shared" si="0"/>
        <v>102.04</v>
      </c>
      <c r="S13" t="str">
        <f t="shared" si="1"/>
        <v>September</v>
      </c>
      <c r="T13">
        <f t="shared" si="2"/>
        <v>9</v>
      </c>
      <c r="U13" t="str">
        <f t="shared" si="3"/>
        <v>Tuesday</v>
      </c>
    </row>
    <row r="14" spans="1:21" x14ac:dyDescent="0.2">
      <c r="A14" t="s">
        <v>51</v>
      </c>
      <c r="B14" t="s">
        <v>22</v>
      </c>
      <c r="C14" t="s">
        <v>23</v>
      </c>
      <c r="D14" t="s">
        <v>24</v>
      </c>
      <c r="E14" t="s">
        <v>25</v>
      </c>
      <c r="F14" t="s">
        <v>32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27</v>
      </c>
      <c r="N14">
        <v>234.75</v>
      </c>
      <c r="O14">
        <v>4.7619047620000003</v>
      </c>
      <c r="P14">
        <v>11.737500000000001</v>
      </c>
      <c r="Q14">
        <v>7.1</v>
      </c>
      <c r="R14" s="3">
        <f t="shared" si="0"/>
        <v>234.75</v>
      </c>
      <c r="S14" t="str">
        <f t="shared" si="1"/>
        <v>December</v>
      </c>
      <c r="T14">
        <f t="shared" si="2"/>
        <v>12</v>
      </c>
      <c r="U14" t="str">
        <f t="shared" si="3"/>
        <v>Monday</v>
      </c>
    </row>
    <row r="15" spans="1:21" x14ac:dyDescent="0.2">
      <c r="A15" t="s">
        <v>52</v>
      </c>
      <c r="B15" t="s">
        <v>22</v>
      </c>
      <c r="C15" t="s">
        <v>23</v>
      </c>
      <c r="D15" t="s">
        <v>24</v>
      </c>
      <c r="E15" t="s">
        <v>25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27</v>
      </c>
      <c r="N15">
        <v>431.9</v>
      </c>
      <c r="O15">
        <v>4.7619047620000003</v>
      </c>
      <c r="P15">
        <v>21.594999999999999</v>
      </c>
      <c r="Q15">
        <v>8.1999999999999993</v>
      </c>
      <c r="R15" s="3">
        <f t="shared" si="0"/>
        <v>431.9</v>
      </c>
      <c r="S15" t="str">
        <f t="shared" si="1"/>
        <v>July</v>
      </c>
      <c r="T15">
        <f t="shared" si="2"/>
        <v>7</v>
      </c>
      <c r="U15" t="str">
        <f t="shared" si="3"/>
        <v>Tuesday</v>
      </c>
    </row>
    <row r="16" spans="1:21" x14ac:dyDescent="0.2">
      <c r="A16" t="s">
        <v>53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33</v>
      </c>
      <c r="N16">
        <v>713.8</v>
      </c>
      <c r="O16">
        <v>4.7619047620000003</v>
      </c>
      <c r="P16">
        <v>35.69</v>
      </c>
      <c r="Q16">
        <v>5.7</v>
      </c>
      <c r="R16" s="3">
        <f t="shared" si="0"/>
        <v>713.8</v>
      </c>
      <c r="S16" t="str">
        <f t="shared" si="1"/>
        <v>March</v>
      </c>
      <c r="T16">
        <f t="shared" si="2"/>
        <v>3</v>
      </c>
      <c r="U16" t="str">
        <f t="shared" si="3"/>
        <v>Friday</v>
      </c>
    </row>
    <row r="17" spans="1:21" x14ac:dyDescent="0.2">
      <c r="A17" t="s">
        <v>54</v>
      </c>
      <c r="B17" t="s">
        <v>45</v>
      </c>
      <c r="C17" t="s">
        <v>46</v>
      </c>
      <c r="D17" t="s">
        <v>24</v>
      </c>
      <c r="E17" t="s">
        <v>25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33</v>
      </c>
      <c r="N17">
        <v>562.32000000000005</v>
      </c>
      <c r="O17">
        <v>4.7619047620000003</v>
      </c>
      <c r="P17">
        <v>28.116</v>
      </c>
      <c r="Q17">
        <v>4.5</v>
      </c>
      <c r="R17" s="3">
        <f t="shared" si="0"/>
        <v>562.31999999999994</v>
      </c>
      <c r="S17" t="str">
        <f t="shared" si="1"/>
        <v>January</v>
      </c>
      <c r="T17">
        <f t="shared" si="2"/>
        <v>1</v>
      </c>
      <c r="U17" t="str">
        <f t="shared" si="3"/>
        <v>Tuesday</v>
      </c>
    </row>
    <row r="18" spans="1:21" x14ac:dyDescent="0.2">
      <c r="A18" t="s">
        <v>55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  <c r="R18" s="3">
        <f t="shared" si="0"/>
        <v>482.51000000000005</v>
      </c>
      <c r="S18" t="str">
        <f t="shared" si="1"/>
        <v>November</v>
      </c>
      <c r="T18">
        <f t="shared" si="2"/>
        <v>11</v>
      </c>
      <c r="U18" t="str">
        <f t="shared" si="3"/>
        <v>Sunday</v>
      </c>
    </row>
    <row r="19" spans="1:21" x14ac:dyDescent="0.2">
      <c r="A19" t="s">
        <v>56</v>
      </c>
      <c r="B19" t="s">
        <v>22</v>
      </c>
      <c r="C19" t="s">
        <v>23</v>
      </c>
      <c r="D19" t="s">
        <v>24</v>
      </c>
      <c r="E19" t="s">
        <v>25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  <c r="R19" s="3">
        <f t="shared" si="0"/>
        <v>435.65999999999997</v>
      </c>
      <c r="S19" t="str">
        <f t="shared" si="1"/>
        <v>January</v>
      </c>
      <c r="T19">
        <f t="shared" si="2"/>
        <v>1</v>
      </c>
      <c r="U19" t="str">
        <f t="shared" si="3"/>
        <v>Tuesday</v>
      </c>
    </row>
    <row r="20" spans="1:21" x14ac:dyDescent="0.2">
      <c r="A20" t="s">
        <v>57</v>
      </c>
      <c r="B20" t="s">
        <v>22</v>
      </c>
      <c r="C20" t="s">
        <v>23</v>
      </c>
      <c r="D20" t="s">
        <v>24</v>
      </c>
      <c r="E20" t="s">
        <v>25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  <c r="R20" s="3">
        <f t="shared" si="0"/>
        <v>164.01</v>
      </c>
      <c r="S20" t="str">
        <f t="shared" si="1"/>
        <v>January</v>
      </c>
      <c r="T20">
        <f t="shared" si="2"/>
        <v>1</v>
      </c>
      <c r="U20" t="str">
        <f t="shared" si="3"/>
        <v>Monday</v>
      </c>
    </row>
    <row r="21" spans="1:21" x14ac:dyDescent="0.2">
      <c r="A21" t="s">
        <v>58</v>
      </c>
      <c r="B21" t="s">
        <v>45</v>
      </c>
      <c r="C21" t="s">
        <v>46</v>
      </c>
      <c r="D21" t="s">
        <v>24</v>
      </c>
      <c r="E21" t="s">
        <v>25</v>
      </c>
      <c r="F21" t="s">
        <v>35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27</v>
      </c>
      <c r="N21">
        <v>80.599999999999994</v>
      </c>
      <c r="O21">
        <v>4.7619047620000003</v>
      </c>
      <c r="P21">
        <v>4.03</v>
      </c>
      <c r="Q21">
        <v>4.4000000000000004</v>
      </c>
      <c r="R21" s="3">
        <f t="shared" si="0"/>
        <v>80.599999999999994</v>
      </c>
      <c r="S21" t="str">
        <f t="shared" si="1"/>
        <v>November</v>
      </c>
      <c r="T21">
        <f t="shared" si="2"/>
        <v>11</v>
      </c>
      <c r="U21" t="str">
        <f t="shared" si="3"/>
        <v>Sunday</v>
      </c>
    </row>
    <row r="22" spans="1:21" x14ac:dyDescent="0.2">
      <c r="A22" t="s">
        <v>59</v>
      </c>
      <c r="B22" t="s">
        <v>29</v>
      </c>
      <c r="C22" t="s">
        <v>30</v>
      </c>
      <c r="D22" t="s">
        <v>24</v>
      </c>
      <c r="E22" t="s">
        <v>25</v>
      </c>
      <c r="F22" t="s">
        <v>32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27</v>
      </c>
      <c r="N22">
        <v>430.2</v>
      </c>
      <c r="O22">
        <v>4.7619047620000003</v>
      </c>
      <c r="P22">
        <v>21.51</v>
      </c>
      <c r="Q22">
        <v>4.8</v>
      </c>
      <c r="R22" s="3">
        <f t="shared" si="0"/>
        <v>430.20000000000005</v>
      </c>
      <c r="S22" t="str">
        <f t="shared" si="1"/>
        <v>February</v>
      </c>
      <c r="T22">
        <f t="shared" si="2"/>
        <v>2</v>
      </c>
      <c r="U22" t="str">
        <f t="shared" si="3"/>
        <v>Monday</v>
      </c>
    </row>
    <row r="23" spans="1:21" x14ac:dyDescent="0.2">
      <c r="A23" t="s">
        <v>60</v>
      </c>
      <c r="B23" t="s">
        <v>45</v>
      </c>
      <c r="C23" t="s">
        <v>46</v>
      </c>
      <c r="D23" t="s">
        <v>24</v>
      </c>
      <c r="E23" t="s">
        <v>25</v>
      </c>
      <c r="F23" t="s">
        <v>26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27</v>
      </c>
      <c r="N23">
        <v>263.94</v>
      </c>
      <c r="O23">
        <v>4.7619047620000003</v>
      </c>
      <c r="P23">
        <v>13.196999999999999</v>
      </c>
      <c r="Q23">
        <v>5.0999999999999996</v>
      </c>
      <c r="R23" s="3">
        <f t="shared" si="0"/>
        <v>263.94</v>
      </c>
      <c r="S23" t="str">
        <f t="shared" si="1"/>
        <v>May</v>
      </c>
      <c r="T23">
        <f t="shared" si="2"/>
        <v>5</v>
      </c>
      <c r="U23" t="str">
        <f t="shared" si="3"/>
        <v>Friday</v>
      </c>
    </row>
    <row r="24" spans="1:21" x14ac:dyDescent="0.2">
      <c r="A24" t="s">
        <v>61</v>
      </c>
      <c r="B24" t="s">
        <v>45</v>
      </c>
      <c r="C24" t="s">
        <v>46</v>
      </c>
      <c r="D24" t="s">
        <v>24</v>
      </c>
      <c r="E24" t="s">
        <v>25</v>
      </c>
      <c r="F24" t="s">
        <v>35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  <c r="R24" s="3">
        <f t="shared" si="0"/>
        <v>66.400000000000006</v>
      </c>
      <c r="S24" t="str">
        <f t="shared" si="1"/>
        <v>March</v>
      </c>
      <c r="T24">
        <f t="shared" si="2"/>
        <v>3</v>
      </c>
      <c r="U24" t="str">
        <f t="shared" si="3"/>
        <v>Friday</v>
      </c>
    </row>
    <row r="25" spans="1:21" x14ac:dyDescent="0.2">
      <c r="A25" t="s">
        <v>62</v>
      </c>
      <c r="B25" t="s">
        <v>22</v>
      </c>
      <c r="C25" t="s">
        <v>23</v>
      </c>
      <c r="D25" t="s">
        <v>24</v>
      </c>
      <c r="E25" t="s">
        <v>25</v>
      </c>
      <c r="F25" t="s">
        <v>32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27</v>
      </c>
      <c r="N25">
        <v>172.8</v>
      </c>
      <c r="O25">
        <v>4.7619047620000003</v>
      </c>
      <c r="P25">
        <v>8.64</v>
      </c>
      <c r="Q25">
        <v>9.9</v>
      </c>
      <c r="R25" s="3">
        <f t="shared" si="0"/>
        <v>172.8</v>
      </c>
      <c r="S25" t="str">
        <f t="shared" si="1"/>
        <v>February</v>
      </c>
      <c r="T25">
        <f t="shared" si="2"/>
        <v>2</v>
      </c>
      <c r="U25" t="str">
        <f t="shared" si="3"/>
        <v>Sunday</v>
      </c>
    </row>
    <row r="26" spans="1:21" x14ac:dyDescent="0.2">
      <c r="A26" t="s">
        <v>63</v>
      </c>
      <c r="B26" t="s">
        <v>22</v>
      </c>
      <c r="C26" t="s">
        <v>23</v>
      </c>
      <c r="D26" t="s">
        <v>24</v>
      </c>
      <c r="E26" t="s">
        <v>25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27</v>
      </c>
      <c r="N26">
        <v>265.89</v>
      </c>
      <c r="O26">
        <v>4.7619047620000003</v>
      </c>
      <c r="P26">
        <v>13.294499999999999</v>
      </c>
      <c r="Q26">
        <v>6</v>
      </c>
      <c r="R26" s="3">
        <f t="shared" si="0"/>
        <v>265.89</v>
      </c>
      <c r="S26" t="str">
        <f t="shared" si="1"/>
        <v>February</v>
      </c>
      <c r="T26">
        <f t="shared" si="2"/>
        <v>2</v>
      </c>
      <c r="U26" t="str">
        <f t="shared" si="3"/>
        <v>Sunday</v>
      </c>
    </row>
    <row r="27" spans="1:21" x14ac:dyDescent="0.2">
      <c r="A27" t="s">
        <v>64</v>
      </c>
      <c r="B27" t="s">
        <v>22</v>
      </c>
      <c r="C27" t="s">
        <v>23</v>
      </c>
      <c r="D27" t="s">
        <v>24</v>
      </c>
      <c r="E27" t="s">
        <v>25</v>
      </c>
      <c r="F27" t="s">
        <v>35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  <c r="R27" s="3">
        <f t="shared" si="0"/>
        <v>420.72</v>
      </c>
      <c r="S27" t="str">
        <f t="shared" si="1"/>
        <v>March</v>
      </c>
      <c r="T27">
        <f t="shared" si="2"/>
        <v>3</v>
      </c>
      <c r="U27" t="str">
        <f t="shared" si="3"/>
        <v>Friday</v>
      </c>
    </row>
    <row r="28" spans="1:21" x14ac:dyDescent="0.2">
      <c r="A28" t="s">
        <v>65</v>
      </c>
      <c r="B28" t="s">
        <v>45</v>
      </c>
      <c r="C28" t="s">
        <v>46</v>
      </c>
      <c r="D28" t="s">
        <v>24</v>
      </c>
      <c r="E28" t="s">
        <v>25</v>
      </c>
      <c r="F28" t="s">
        <v>49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33</v>
      </c>
      <c r="N28">
        <v>33.520000000000003</v>
      </c>
      <c r="O28">
        <v>4.7619047620000003</v>
      </c>
      <c r="P28">
        <v>1.6759999999999999</v>
      </c>
      <c r="Q28">
        <v>6.7</v>
      </c>
      <c r="R28" s="3">
        <f t="shared" si="0"/>
        <v>33.520000000000003</v>
      </c>
      <c r="S28" t="str">
        <f t="shared" si="1"/>
        <v>August</v>
      </c>
      <c r="T28">
        <f t="shared" si="2"/>
        <v>8</v>
      </c>
      <c r="U28" t="str">
        <f t="shared" si="3"/>
        <v>Friday</v>
      </c>
    </row>
    <row r="29" spans="1:21" x14ac:dyDescent="0.2">
      <c r="A29" t="s">
        <v>66</v>
      </c>
      <c r="B29" t="s">
        <v>22</v>
      </c>
      <c r="C29" t="s">
        <v>23</v>
      </c>
      <c r="D29" t="s">
        <v>24</v>
      </c>
      <c r="E29" t="s">
        <v>25</v>
      </c>
      <c r="F29" t="s">
        <v>49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  <c r="R29" s="3">
        <f t="shared" si="0"/>
        <v>175.34</v>
      </c>
      <c r="S29" t="str">
        <f t="shared" si="1"/>
        <v>October</v>
      </c>
      <c r="T29">
        <f t="shared" si="2"/>
        <v>10</v>
      </c>
      <c r="U29" t="str">
        <f t="shared" si="3"/>
        <v>Thursday</v>
      </c>
    </row>
    <row r="30" spans="1:21" x14ac:dyDescent="0.2">
      <c r="A30" t="s">
        <v>67</v>
      </c>
      <c r="B30" t="s">
        <v>45</v>
      </c>
      <c r="C30" t="s">
        <v>46</v>
      </c>
      <c r="D30" t="s">
        <v>24</v>
      </c>
      <c r="E30" t="s">
        <v>25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33</v>
      </c>
      <c r="N30">
        <v>441.8</v>
      </c>
      <c r="O30">
        <v>4.7619047620000003</v>
      </c>
      <c r="P30">
        <v>22.09</v>
      </c>
      <c r="Q30">
        <v>9.6</v>
      </c>
      <c r="R30" s="3">
        <f t="shared" si="0"/>
        <v>441.8</v>
      </c>
      <c r="S30" t="str">
        <f t="shared" si="1"/>
        <v>January</v>
      </c>
      <c r="T30">
        <f t="shared" si="2"/>
        <v>1</v>
      </c>
      <c r="U30" t="str">
        <f t="shared" si="3"/>
        <v>Friday</v>
      </c>
    </row>
    <row r="31" spans="1:21" x14ac:dyDescent="0.2">
      <c r="A31" t="s">
        <v>68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33</v>
      </c>
      <c r="N31">
        <v>224.01</v>
      </c>
      <c r="O31">
        <v>4.7619047620000003</v>
      </c>
      <c r="P31">
        <v>11.2005</v>
      </c>
      <c r="Q31">
        <v>7.4</v>
      </c>
      <c r="R31" s="3">
        <f t="shared" si="0"/>
        <v>224.01</v>
      </c>
      <c r="S31" t="str">
        <f t="shared" si="1"/>
        <v>March</v>
      </c>
      <c r="T31">
        <f t="shared" si="2"/>
        <v>3</v>
      </c>
      <c r="U31" t="str">
        <f t="shared" si="3"/>
        <v>Friday</v>
      </c>
    </row>
    <row r="32" spans="1:21" x14ac:dyDescent="0.2">
      <c r="A32" t="s">
        <v>69</v>
      </c>
      <c r="B32" t="s">
        <v>45</v>
      </c>
      <c r="C32" t="s">
        <v>46</v>
      </c>
      <c r="D32" t="s">
        <v>24</v>
      </c>
      <c r="E32" t="s">
        <v>25</v>
      </c>
      <c r="F32" t="s">
        <v>49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  <c r="R32" s="3">
        <f t="shared" si="0"/>
        <v>470.65</v>
      </c>
      <c r="S32" t="str">
        <f t="shared" si="1"/>
        <v>February</v>
      </c>
      <c r="T32">
        <f t="shared" si="2"/>
        <v>2</v>
      </c>
      <c r="U32" t="str">
        <f t="shared" si="3"/>
        <v>Monday</v>
      </c>
    </row>
    <row r="33" spans="1:21" x14ac:dyDescent="0.2">
      <c r="A33" t="s">
        <v>70</v>
      </c>
      <c r="B33" t="s">
        <v>45</v>
      </c>
      <c r="C33" t="s">
        <v>46</v>
      </c>
      <c r="D33" t="s">
        <v>24</v>
      </c>
      <c r="E33" t="s">
        <v>25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33</v>
      </c>
      <c r="N33">
        <v>702.63</v>
      </c>
      <c r="O33">
        <v>4.7619047620000003</v>
      </c>
      <c r="P33">
        <v>35.131500000000003</v>
      </c>
      <c r="Q33">
        <v>4.5</v>
      </c>
      <c r="R33" s="3">
        <f t="shared" si="0"/>
        <v>702.62999999999988</v>
      </c>
      <c r="S33" t="str">
        <f t="shared" si="1"/>
        <v>January</v>
      </c>
      <c r="T33">
        <f t="shared" si="2"/>
        <v>1</v>
      </c>
      <c r="U33" t="str">
        <f t="shared" si="3"/>
        <v>Monday</v>
      </c>
    </row>
    <row r="34" spans="1:21" x14ac:dyDescent="0.2">
      <c r="A34" t="s">
        <v>71</v>
      </c>
      <c r="B34" t="s">
        <v>45</v>
      </c>
      <c r="C34" t="s">
        <v>46</v>
      </c>
      <c r="D34" t="s">
        <v>24</v>
      </c>
      <c r="E34" t="s">
        <v>25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33</v>
      </c>
      <c r="N34">
        <v>670.24</v>
      </c>
      <c r="O34">
        <v>4.7619047620000003</v>
      </c>
      <c r="P34">
        <v>33.512</v>
      </c>
      <c r="Q34">
        <v>5.0999999999999996</v>
      </c>
      <c r="R34" s="3">
        <f t="shared" si="0"/>
        <v>670.24</v>
      </c>
      <c r="S34" t="str">
        <f t="shared" si="1"/>
        <v>October</v>
      </c>
      <c r="T34">
        <f t="shared" si="2"/>
        <v>10</v>
      </c>
      <c r="U34" t="str">
        <f t="shared" si="3"/>
        <v>Tuesday</v>
      </c>
    </row>
    <row r="35" spans="1:21" x14ac:dyDescent="0.2">
      <c r="A35" t="s">
        <v>72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  <c r="R35" s="3">
        <f t="shared" si="0"/>
        <v>193.16</v>
      </c>
      <c r="S35" t="str">
        <f t="shared" si="1"/>
        <v>March</v>
      </c>
      <c r="T35">
        <f t="shared" si="2"/>
        <v>3</v>
      </c>
      <c r="U35" t="str">
        <f t="shared" si="3"/>
        <v>Friday</v>
      </c>
    </row>
    <row r="36" spans="1:21" x14ac:dyDescent="0.2">
      <c r="A36" t="s">
        <v>73</v>
      </c>
      <c r="B36" t="s">
        <v>29</v>
      </c>
      <c r="C36" t="s">
        <v>30</v>
      </c>
      <c r="D36" t="s">
        <v>24</v>
      </c>
      <c r="E36" t="s">
        <v>25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27</v>
      </c>
      <c r="N36">
        <v>397.68</v>
      </c>
      <c r="O36">
        <v>4.7619047620000003</v>
      </c>
      <c r="P36">
        <v>19.884</v>
      </c>
      <c r="Q36">
        <v>7.5</v>
      </c>
      <c r="R36" s="3">
        <f t="shared" si="0"/>
        <v>397.68</v>
      </c>
      <c r="S36" t="str">
        <f t="shared" si="1"/>
        <v>June</v>
      </c>
      <c r="T36">
        <f t="shared" si="2"/>
        <v>6</v>
      </c>
      <c r="U36" t="str">
        <f t="shared" si="3"/>
        <v>Sunday</v>
      </c>
    </row>
    <row r="37" spans="1:21" x14ac:dyDescent="0.2">
      <c r="A37" t="s">
        <v>74</v>
      </c>
      <c r="B37" t="s">
        <v>29</v>
      </c>
      <c r="C37" t="s">
        <v>30</v>
      </c>
      <c r="D37" t="s">
        <v>24</v>
      </c>
      <c r="E37" t="s">
        <v>25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27</v>
      </c>
      <c r="N37">
        <v>68.12</v>
      </c>
      <c r="O37">
        <v>4.7619047620000003</v>
      </c>
      <c r="P37">
        <v>3.4060000000000001</v>
      </c>
      <c r="Q37">
        <v>6.8</v>
      </c>
      <c r="R37" s="3">
        <f t="shared" si="0"/>
        <v>68.12</v>
      </c>
      <c r="S37" t="str">
        <f t="shared" si="1"/>
        <v>July</v>
      </c>
      <c r="T37">
        <f t="shared" si="2"/>
        <v>7</v>
      </c>
      <c r="U37" t="str">
        <f t="shared" si="3"/>
        <v>Monday</v>
      </c>
    </row>
    <row r="38" spans="1:21" x14ac:dyDescent="0.2">
      <c r="A38" t="s">
        <v>75</v>
      </c>
      <c r="B38" t="s">
        <v>22</v>
      </c>
      <c r="C38" t="s">
        <v>23</v>
      </c>
      <c r="D38" t="s">
        <v>24</v>
      </c>
      <c r="E38" t="s">
        <v>25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27</v>
      </c>
      <c r="N38">
        <v>313.10000000000002</v>
      </c>
      <c r="O38">
        <v>4.7619047620000003</v>
      </c>
      <c r="P38">
        <v>15.654999999999999</v>
      </c>
      <c r="Q38">
        <v>7</v>
      </c>
      <c r="R38" s="3">
        <f t="shared" si="0"/>
        <v>313.09999999999997</v>
      </c>
      <c r="S38" t="str">
        <f t="shared" si="1"/>
        <v>October</v>
      </c>
      <c r="T38">
        <f t="shared" si="2"/>
        <v>10</v>
      </c>
      <c r="U38" t="str">
        <f t="shared" si="3"/>
        <v>Thursday</v>
      </c>
    </row>
    <row r="39" spans="1:21" x14ac:dyDescent="0.2">
      <c r="A39" t="s">
        <v>76</v>
      </c>
      <c r="B39" t="s">
        <v>22</v>
      </c>
      <c r="C39" t="s">
        <v>23</v>
      </c>
      <c r="D39" t="s">
        <v>24</v>
      </c>
      <c r="E39" t="s">
        <v>25</v>
      </c>
      <c r="F39" t="s">
        <v>32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27</v>
      </c>
      <c r="N39">
        <v>547.91999999999996</v>
      </c>
      <c r="O39">
        <v>4.7619047620000003</v>
      </c>
      <c r="P39">
        <v>27.396000000000001</v>
      </c>
      <c r="Q39">
        <v>4.7</v>
      </c>
      <c r="R39" s="3">
        <f t="shared" si="0"/>
        <v>547.92000000000007</v>
      </c>
      <c r="S39" t="str">
        <f t="shared" si="1"/>
        <v>January</v>
      </c>
      <c r="T39">
        <f t="shared" si="2"/>
        <v>1</v>
      </c>
      <c r="U39" t="str">
        <f t="shared" si="3"/>
        <v>Tuesday</v>
      </c>
    </row>
    <row r="40" spans="1:21" x14ac:dyDescent="0.2">
      <c r="A40" t="s">
        <v>77</v>
      </c>
      <c r="B40" t="s">
        <v>29</v>
      </c>
      <c r="C40" t="s">
        <v>30</v>
      </c>
      <c r="D40" t="s">
        <v>24</v>
      </c>
      <c r="E40" t="s">
        <v>25</v>
      </c>
      <c r="F40" t="s">
        <v>26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27</v>
      </c>
      <c r="N40">
        <v>439.36</v>
      </c>
      <c r="O40">
        <v>4.7619047620000003</v>
      </c>
      <c r="P40">
        <v>21.968</v>
      </c>
      <c r="Q40">
        <v>7.6</v>
      </c>
      <c r="R40" s="3">
        <f t="shared" si="0"/>
        <v>439.36</v>
      </c>
      <c r="S40" t="str">
        <f t="shared" si="1"/>
        <v>March</v>
      </c>
      <c r="T40">
        <f t="shared" si="2"/>
        <v>3</v>
      </c>
      <c r="U40" t="str">
        <f t="shared" si="3"/>
        <v>Saturday</v>
      </c>
    </row>
    <row r="41" spans="1:21" x14ac:dyDescent="0.2">
      <c r="A41" t="s">
        <v>78</v>
      </c>
      <c r="B41" t="s">
        <v>45</v>
      </c>
      <c r="C41" t="s">
        <v>46</v>
      </c>
      <c r="D41" t="s">
        <v>24</v>
      </c>
      <c r="E41" t="s">
        <v>25</v>
      </c>
      <c r="F41" t="s">
        <v>35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33</v>
      </c>
      <c r="N41">
        <v>240.96</v>
      </c>
      <c r="O41">
        <v>4.7619047620000003</v>
      </c>
      <c r="P41">
        <v>12.048</v>
      </c>
      <c r="Q41">
        <v>7.7</v>
      </c>
      <c r="R41" s="3">
        <f t="shared" si="0"/>
        <v>240.96</v>
      </c>
      <c r="S41" t="str">
        <f t="shared" si="1"/>
        <v>March</v>
      </c>
      <c r="T41">
        <f t="shared" si="2"/>
        <v>3</v>
      </c>
      <c r="U41" t="str">
        <f t="shared" si="3"/>
        <v>Sunday</v>
      </c>
    </row>
    <row r="42" spans="1:21" x14ac:dyDescent="0.2">
      <c r="A42" t="s">
        <v>79</v>
      </c>
      <c r="B42" t="s">
        <v>45</v>
      </c>
      <c r="C42" t="s">
        <v>46</v>
      </c>
      <c r="D42" t="s">
        <v>24</v>
      </c>
      <c r="E42" t="s">
        <v>25</v>
      </c>
      <c r="F42" t="s">
        <v>35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27</v>
      </c>
      <c r="N42">
        <v>86.72</v>
      </c>
      <c r="O42">
        <v>4.7619047620000003</v>
      </c>
      <c r="P42">
        <v>4.3360000000000003</v>
      </c>
      <c r="Q42">
        <v>7.9</v>
      </c>
      <c r="R42" s="3">
        <f t="shared" si="0"/>
        <v>86.72</v>
      </c>
      <c r="S42" t="str">
        <f t="shared" si="1"/>
        <v>January</v>
      </c>
      <c r="T42">
        <f t="shared" si="2"/>
        <v>1</v>
      </c>
      <c r="U42" t="str">
        <f t="shared" si="3"/>
        <v>Thursday</v>
      </c>
    </row>
    <row r="43" spans="1:21" x14ac:dyDescent="0.2">
      <c r="A43" t="s">
        <v>80</v>
      </c>
      <c r="B43" t="s">
        <v>29</v>
      </c>
      <c r="C43" t="s">
        <v>30</v>
      </c>
      <c r="D43" t="s">
        <v>24</v>
      </c>
      <c r="E43" t="s">
        <v>25</v>
      </c>
      <c r="F43" t="s">
        <v>35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33</v>
      </c>
      <c r="N43">
        <v>112.22</v>
      </c>
      <c r="O43">
        <v>4.7619047620000003</v>
      </c>
      <c r="P43">
        <v>5.6109999999999998</v>
      </c>
      <c r="Q43">
        <v>6.3</v>
      </c>
      <c r="R43" s="3">
        <f t="shared" si="0"/>
        <v>112.22</v>
      </c>
      <c r="S43" t="str">
        <f t="shared" si="1"/>
        <v>February</v>
      </c>
      <c r="T43">
        <f t="shared" si="2"/>
        <v>2</v>
      </c>
      <c r="U43" t="str">
        <f t="shared" si="3"/>
        <v>Saturday</v>
      </c>
    </row>
    <row r="44" spans="1:21" x14ac:dyDescent="0.2">
      <c r="A44" t="s">
        <v>81</v>
      </c>
      <c r="B44" t="s">
        <v>45</v>
      </c>
      <c r="C44" t="s">
        <v>46</v>
      </c>
      <c r="D44" t="s">
        <v>24</v>
      </c>
      <c r="E44" t="s">
        <v>25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33</v>
      </c>
      <c r="N44">
        <v>414.72</v>
      </c>
      <c r="O44">
        <v>4.7619047620000003</v>
      </c>
      <c r="P44">
        <v>20.736000000000001</v>
      </c>
      <c r="Q44">
        <v>5.6</v>
      </c>
      <c r="R44" s="3">
        <f t="shared" si="0"/>
        <v>414.72</v>
      </c>
      <c r="S44" t="str">
        <f t="shared" si="1"/>
        <v>August</v>
      </c>
      <c r="T44">
        <f t="shared" si="2"/>
        <v>8</v>
      </c>
      <c r="U44" t="str">
        <f t="shared" si="3"/>
        <v>Friday</v>
      </c>
    </row>
    <row r="45" spans="1:21" x14ac:dyDescent="0.2">
      <c r="A45" t="s">
        <v>82</v>
      </c>
      <c r="B45" t="s">
        <v>29</v>
      </c>
      <c r="C45" t="s">
        <v>30</v>
      </c>
      <c r="D45" t="s">
        <v>24</v>
      </c>
      <c r="E45" t="s">
        <v>25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33</v>
      </c>
      <c r="N45">
        <v>789.6</v>
      </c>
      <c r="O45">
        <v>4.7619047620000003</v>
      </c>
      <c r="P45">
        <v>39.479999999999997</v>
      </c>
      <c r="Q45">
        <v>7.6</v>
      </c>
      <c r="R45" s="3">
        <f t="shared" si="0"/>
        <v>789.6</v>
      </c>
      <c r="S45" t="str">
        <f t="shared" si="1"/>
        <v>April</v>
      </c>
      <c r="T45">
        <f t="shared" si="2"/>
        <v>4</v>
      </c>
      <c r="U45" t="str">
        <f t="shared" si="3"/>
        <v>Wednesday</v>
      </c>
    </row>
    <row r="46" spans="1:21" x14ac:dyDescent="0.2">
      <c r="A46" t="s">
        <v>83</v>
      </c>
      <c r="B46" t="s">
        <v>29</v>
      </c>
      <c r="C46" t="s">
        <v>30</v>
      </c>
      <c r="D46" t="s">
        <v>24</v>
      </c>
      <c r="E46" t="s">
        <v>25</v>
      </c>
      <c r="F46" t="s">
        <v>26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33</v>
      </c>
      <c r="N46">
        <v>30.74</v>
      </c>
      <c r="O46">
        <v>4.7619047620000003</v>
      </c>
      <c r="P46">
        <v>1.5369999999999999</v>
      </c>
      <c r="Q46">
        <v>7.2</v>
      </c>
      <c r="R46" s="3">
        <f t="shared" si="0"/>
        <v>30.74</v>
      </c>
      <c r="S46" t="str">
        <f t="shared" si="1"/>
        <v>March</v>
      </c>
      <c r="T46">
        <f t="shared" si="2"/>
        <v>3</v>
      </c>
      <c r="U46" t="str">
        <f t="shared" si="3"/>
        <v>Saturday</v>
      </c>
    </row>
    <row r="47" spans="1:21" x14ac:dyDescent="0.2">
      <c r="A47" t="s">
        <v>84</v>
      </c>
      <c r="B47" t="s">
        <v>45</v>
      </c>
      <c r="C47" t="s">
        <v>46</v>
      </c>
      <c r="D47" t="s">
        <v>24</v>
      </c>
      <c r="E47" t="s">
        <v>25</v>
      </c>
      <c r="F47" t="s">
        <v>32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33</v>
      </c>
      <c r="N47">
        <v>375.84</v>
      </c>
      <c r="O47">
        <v>4.7619047620000003</v>
      </c>
      <c r="P47">
        <v>18.792000000000002</v>
      </c>
      <c r="Q47">
        <v>9.5</v>
      </c>
      <c r="R47" s="3">
        <f t="shared" si="0"/>
        <v>375.84</v>
      </c>
      <c r="S47" t="str">
        <f t="shared" si="1"/>
        <v>September</v>
      </c>
      <c r="T47">
        <f t="shared" si="2"/>
        <v>9</v>
      </c>
      <c r="U47" t="str">
        <f t="shared" si="3"/>
        <v>Tuesday</v>
      </c>
    </row>
    <row r="48" spans="1:21" x14ac:dyDescent="0.2">
      <c r="A48" t="s">
        <v>85</v>
      </c>
      <c r="B48" t="s">
        <v>45</v>
      </c>
      <c r="C48" t="s">
        <v>46</v>
      </c>
      <c r="D48" t="s">
        <v>24</v>
      </c>
      <c r="E48" t="s">
        <v>25</v>
      </c>
      <c r="F48" t="s">
        <v>26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  <c r="R48" s="3">
        <f t="shared" si="0"/>
        <v>510.21</v>
      </c>
      <c r="S48" t="str">
        <f t="shared" si="1"/>
        <v>February</v>
      </c>
      <c r="T48">
        <f t="shared" si="2"/>
        <v>2</v>
      </c>
      <c r="U48" t="str">
        <f t="shared" si="3"/>
        <v>Wednesday</v>
      </c>
    </row>
    <row r="49" spans="1:21" x14ac:dyDescent="0.2">
      <c r="A49" t="s">
        <v>86</v>
      </c>
      <c r="B49" t="s">
        <v>45</v>
      </c>
      <c r="C49" t="s">
        <v>46</v>
      </c>
      <c r="D49" t="s">
        <v>24</v>
      </c>
      <c r="E49" t="s">
        <v>25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27</v>
      </c>
      <c r="N49">
        <v>180.09</v>
      </c>
      <c r="O49">
        <v>4.7619047620000003</v>
      </c>
      <c r="P49">
        <v>9.0045000000000002</v>
      </c>
      <c r="Q49">
        <v>4.0999999999999996</v>
      </c>
      <c r="R49" s="3">
        <f t="shared" si="0"/>
        <v>180.09</v>
      </c>
      <c r="S49" t="str">
        <f t="shared" si="1"/>
        <v>June</v>
      </c>
      <c r="T49">
        <f t="shared" si="2"/>
        <v>6</v>
      </c>
      <c r="U49" t="str">
        <f t="shared" si="3"/>
        <v>Sunday</v>
      </c>
    </row>
    <row r="50" spans="1:21" x14ac:dyDescent="0.2">
      <c r="A50" t="s">
        <v>87</v>
      </c>
      <c r="B50" t="s">
        <v>45</v>
      </c>
      <c r="C50" t="s">
        <v>46</v>
      </c>
      <c r="D50" t="s">
        <v>24</v>
      </c>
      <c r="E50" t="s">
        <v>25</v>
      </c>
      <c r="F50" t="s">
        <v>32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  <c r="R50" s="3">
        <f t="shared" si="0"/>
        <v>113.58</v>
      </c>
      <c r="S50" t="str">
        <f t="shared" si="1"/>
        <v>October</v>
      </c>
      <c r="T50">
        <f t="shared" si="2"/>
        <v>10</v>
      </c>
      <c r="U50" t="str">
        <f t="shared" si="3"/>
        <v>Wednesday</v>
      </c>
    </row>
    <row r="51" spans="1:21" x14ac:dyDescent="0.2">
      <c r="A51" t="s">
        <v>88</v>
      </c>
      <c r="B51" t="s">
        <v>29</v>
      </c>
      <c r="C51" t="s">
        <v>30</v>
      </c>
      <c r="D51" t="s">
        <v>24</v>
      </c>
      <c r="E51" t="s">
        <v>25</v>
      </c>
      <c r="F51" t="s">
        <v>49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27</v>
      </c>
      <c r="N51">
        <v>826.3</v>
      </c>
      <c r="O51">
        <v>4.7619047620000003</v>
      </c>
      <c r="P51">
        <v>41.314999999999998</v>
      </c>
      <c r="Q51">
        <v>7.9</v>
      </c>
      <c r="R51" s="3">
        <f t="shared" si="0"/>
        <v>826.3</v>
      </c>
      <c r="S51" t="str">
        <f t="shared" si="1"/>
        <v>March</v>
      </c>
      <c r="T51">
        <f t="shared" si="2"/>
        <v>3</v>
      </c>
      <c r="U51" t="str">
        <f t="shared" si="3"/>
        <v>Tuesday</v>
      </c>
    </row>
    <row r="52" spans="1:21" x14ac:dyDescent="0.2">
      <c r="A52" t="s">
        <v>89</v>
      </c>
      <c r="B52" t="s">
        <v>29</v>
      </c>
      <c r="C52" t="s">
        <v>30</v>
      </c>
      <c r="D52" t="s">
        <v>24</v>
      </c>
      <c r="E52" t="s">
        <v>25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33</v>
      </c>
      <c r="N52">
        <v>639.79999999999995</v>
      </c>
      <c r="O52">
        <v>4.7619047620000003</v>
      </c>
      <c r="P52">
        <v>31.99</v>
      </c>
      <c r="Q52">
        <v>9.5</v>
      </c>
      <c r="R52" s="3">
        <f t="shared" si="0"/>
        <v>639.80000000000007</v>
      </c>
      <c r="S52" t="str">
        <f t="shared" si="1"/>
        <v>March</v>
      </c>
      <c r="T52">
        <f t="shared" si="2"/>
        <v>3</v>
      </c>
      <c r="U52" t="str">
        <f t="shared" si="3"/>
        <v>Saturday</v>
      </c>
    </row>
    <row r="53" spans="1:21" x14ac:dyDescent="0.2">
      <c r="A53" t="s">
        <v>90</v>
      </c>
      <c r="B53" t="s">
        <v>22</v>
      </c>
      <c r="C53" t="s">
        <v>23</v>
      </c>
      <c r="D53" t="s">
        <v>24</v>
      </c>
      <c r="E53" t="s">
        <v>25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33</v>
      </c>
      <c r="N53">
        <v>222.95</v>
      </c>
      <c r="O53">
        <v>4.7619047620000003</v>
      </c>
      <c r="P53">
        <v>11.147500000000001</v>
      </c>
      <c r="Q53">
        <v>8.5</v>
      </c>
      <c r="R53" s="3">
        <f t="shared" si="0"/>
        <v>222.95000000000002</v>
      </c>
      <c r="S53" t="str">
        <f t="shared" si="1"/>
        <v>October</v>
      </c>
      <c r="T53">
        <f t="shared" si="2"/>
        <v>10</v>
      </c>
      <c r="U53" t="str">
        <f t="shared" si="3"/>
        <v>Wednesday</v>
      </c>
    </row>
    <row r="54" spans="1:21" x14ac:dyDescent="0.2">
      <c r="A54" t="s">
        <v>91</v>
      </c>
      <c r="B54" t="s">
        <v>45</v>
      </c>
      <c r="C54" t="s">
        <v>46</v>
      </c>
      <c r="D54" t="s">
        <v>24</v>
      </c>
      <c r="E54" t="s">
        <v>25</v>
      </c>
      <c r="F54" t="s">
        <v>49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27</v>
      </c>
      <c r="N54">
        <v>71.48</v>
      </c>
      <c r="O54">
        <v>4.7619047620000003</v>
      </c>
      <c r="P54">
        <v>3.5739999999999998</v>
      </c>
      <c r="Q54">
        <v>6.5</v>
      </c>
      <c r="R54" s="3">
        <f t="shared" si="0"/>
        <v>71.48</v>
      </c>
      <c r="S54" t="str">
        <f t="shared" si="1"/>
        <v>March</v>
      </c>
      <c r="T54">
        <f t="shared" si="2"/>
        <v>3</v>
      </c>
      <c r="U54" t="str">
        <f t="shared" si="3"/>
        <v>Friday</v>
      </c>
    </row>
    <row r="55" spans="1:21" x14ac:dyDescent="0.2">
      <c r="A55" t="s">
        <v>92</v>
      </c>
      <c r="B55" t="s">
        <v>29</v>
      </c>
      <c r="C55" t="s">
        <v>30</v>
      </c>
      <c r="D55" t="s">
        <v>24</v>
      </c>
      <c r="E55" t="s">
        <v>25</v>
      </c>
      <c r="F55" t="s">
        <v>49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  <c r="R55" s="3">
        <f t="shared" si="0"/>
        <v>15.43</v>
      </c>
      <c r="S55" t="str">
        <f t="shared" si="1"/>
        <v>January</v>
      </c>
      <c r="T55">
        <f t="shared" si="2"/>
        <v>1</v>
      </c>
      <c r="U55" t="str">
        <f t="shared" si="3"/>
        <v>Friday</v>
      </c>
    </row>
    <row r="56" spans="1:21" x14ac:dyDescent="0.2">
      <c r="A56" t="s">
        <v>93</v>
      </c>
      <c r="B56" t="s">
        <v>45</v>
      </c>
      <c r="C56" t="s">
        <v>46</v>
      </c>
      <c r="D56" t="s">
        <v>24</v>
      </c>
      <c r="E56" t="s">
        <v>25</v>
      </c>
      <c r="F56" t="s">
        <v>35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27</v>
      </c>
      <c r="N56">
        <v>32.32</v>
      </c>
      <c r="O56">
        <v>4.7619047620000003</v>
      </c>
      <c r="P56">
        <v>1.6160000000000001</v>
      </c>
      <c r="Q56">
        <v>6.5</v>
      </c>
      <c r="R56" s="3">
        <f t="shared" si="0"/>
        <v>32.32</v>
      </c>
      <c r="S56" t="str">
        <f t="shared" si="1"/>
        <v>July</v>
      </c>
      <c r="T56">
        <f t="shared" si="2"/>
        <v>7</v>
      </c>
      <c r="U56" t="str">
        <f t="shared" si="3"/>
        <v>Wednesday</v>
      </c>
    </row>
    <row r="57" spans="1:21" x14ac:dyDescent="0.2">
      <c r="A57" t="s">
        <v>94</v>
      </c>
      <c r="B57" t="s">
        <v>29</v>
      </c>
      <c r="C57" t="s">
        <v>30</v>
      </c>
      <c r="D57" t="s">
        <v>24</v>
      </c>
      <c r="E57" t="s">
        <v>25</v>
      </c>
      <c r="F57" t="s">
        <v>32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33</v>
      </c>
      <c r="N57">
        <v>687.84</v>
      </c>
      <c r="O57">
        <v>4.7619047620000003</v>
      </c>
      <c r="P57">
        <v>34.392000000000003</v>
      </c>
      <c r="Q57">
        <v>8.1999999999999993</v>
      </c>
      <c r="R57" s="3">
        <f t="shared" si="0"/>
        <v>687.84</v>
      </c>
      <c r="S57" t="str">
        <f t="shared" si="1"/>
        <v>February</v>
      </c>
      <c r="T57">
        <f t="shared" si="2"/>
        <v>2</v>
      </c>
      <c r="U57" t="str">
        <f t="shared" si="3"/>
        <v>Thursday</v>
      </c>
    </row>
    <row r="58" spans="1:21" x14ac:dyDescent="0.2">
      <c r="A58" t="s">
        <v>95</v>
      </c>
      <c r="B58" t="s">
        <v>22</v>
      </c>
      <c r="C58" t="s">
        <v>23</v>
      </c>
      <c r="D58" t="s">
        <v>24</v>
      </c>
      <c r="E58" t="s">
        <v>25</v>
      </c>
      <c r="F58" t="s">
        <v>35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33</v>
      </c>
      <c r="N58">
        <v>88.68</v>
      </c>
      <c r="O58">
        <v>4.7619047620000003</v>
      </c>
      <c r="P58">
        <v>4.4340000000000002</v>
      </c>
      <c r="Q58">
        <v>5.8</v>
      </c>
      <c r="R58" s="3">
        <f t="shared" si="0"/>
        <v>88.68</v>
      </c>
      <c r="S58" t="str">
        <f t="shared" si="1"/>
        <v>March</v>
      </c>
      <c r="T58">
        <f t="shared" si="2"/>
        <v>3</v>
      </c>
      <c r="U58" t="str">
        <f t="shared" si="3"/>
        <v>Wednesday</v>
      </c>
    </row>
    <row r="59" spans="1:21" x14ac:dyDescent="0.2">
      <c r="A59" t="s">
        <v>96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27</v>
      </c>
      <c r="N59">
        <v>716.8</v>
      </c>
      <c r="O59">
        <v>4.7619047620000003</v>
      </c>
      <c r="P59">
        <v>35.840000000000003</v>
      </c>
      <c r="Q59">
        <v>6.6</v>
      </c>
      <c r="R59" s="3">
        <f t="shared" si="0"/>
        <v>716.8</v>
      </c>
      <c r="S59" t="str">
        <f t="shared" si="1"/>
        <v>July</v>
      </c>
      <c r="T59">
        <f t="shared" si="2"/>
        <v>7</v>
      </c>
      <c r="U59" t="str">
        <f t="shared" si="3"/>
        <v>Tuesday</v>
      </c>
    </row>
    <row r="60" spans="1:21" x14ac:dyDescent="0.2">
      <c r="A60" t="s">
        <v>97</v>
      </c>
      <c r="B60" t="s">
        <v>22</v>
      </c>
      <c r="C60" t="s">
        <v>23</v>
      </c>
      <c r="D60" t="s">
        <v>24</v>
      </c>
      <c r="E60" t="s">
        <v>25</v>
      </c>
      <c r="F60" t="s">
        <v>35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33</v>
      </c>
      <c r="N60">
        <v>723.5</v>
      </c>
      <c r="O60">
        <v>4.7619047620000003</v>
      </c>
      <c r="P60">
        <v>36.174999999999997</v>
      </c>
      <c r="Q60">
        <v>5.4</v>
      </c>
      <c r="R60" s="3">
        <f t="shared" si="0"/>
        <v>723.5</v>
      </c>
      <c r="S60" t="str">
        <f t="shared" si="1"/>
        <v>January</v>
      </c>
      <c r="T60">
        <f t="shared" si="2"/>
        <v>1</v>
      </c>
      <c r="U60" t="str">
        <f t="shared" si="3"/>
        <v>Sunday</v>
      </c>
    </row>
    <row r="61" spans="1:21" x14ac:dyDescent="0.2">
      <c r="A61" t="s">
        <v>98</v>
      </c>
      <c r="B61" t="s">
        <v>29</v>
      </c>
      <c r="C61" t="s">
        <v>30</v>
      </c>
      <c r="D61" t="s">
        <v>24</v>
      </c>
      <c r="E61" t="s">
        <v>25</v>
      </c>
      <c r="F61" t="s">
        <v>32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33</v>
      </c>
      <c r="N61">
        <v>183.66</v>
      </c>
      <c r="O61">
        <v>4.7619047620000003</v>
      </c>
      <c r="P61">
        <v>9.1829999999999998</v>
      </c>
      <c r="Q61">
        <v>9.3000000000000007</v>
      </c>
      <c r="R61" s="3">
        <f t="shared" si="0"/>
        <v>183.66</v>
      </c>
      <c r="S61" t="str">
        <f t="shared" si="1"/>
        <v>December</v>
      </c>
      <c r="T61">
        <f t="shared" si="2"/>
        <v>12</v>
      </c>
      <c r="U61" t="str">
        <f t="shared" si="3"/>
        <v>Tuesday</v>
      </c>
    </row>
    <row r="62" spans="1:21" x14ac:dyDescent="0.2">
      <c r="A62" t="s">
        <v>99</v>
      </c>
      <c r="B62" t="s">
        <v>29</v>
      </c>
      <c r="C62" t="s">
        <v>30</v>
      </c>
      <c r="D62" t="s">
        <v>24</v>
      </c>
      <c r="E62" t="s">
        <v>25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  <c r="R62" s="3">
        <f t="shared" si="0"/>
        <v>74.22</v>
      </c>
      <c r="S62" t="str">
        <f t="shared" si="1"/>
        <v>February</v>
      </c>
      <c r="T62">
        <f t="shared" si="2"/>
        <v>2</v>
      </c>
      <c r="U62" t="str">
        <f t="shared" si="3"/>
        <v>Friday</v>
      </c>
    </row>
    <row r="63" spans="1:21" x14ac:dyDescent="0.2">
      <c r="A63" t="s">
        <v>100</v>
      </c>
      <c r="B63" t="s">
        <v>29</v>
      </c>
      <c r="C63" t="s">
        <v>30</v>
      </c>
      <c r="D63" t="s">
        <v>24</v>
      </c>
      <c r="E63" t="s">
        <v>25</v>
      </c>
      <c r="F63" t="s">
        <v>35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27</v>
      </c>
      <c r="N63">
        <v>334.38</v>
      </c>
      <c r="O63">
        <v>4.7619047620000003</v>
      </c>
      <c r="P63">
        <v>16.719000000000001</v>
      </c>
      <c r="Q63">
        <v>7</v>
      </c>
      <c r="R63" s="3">
        <f t="shared" si="0"/>
        <v>334.38</v>
      </c>
      <c r="S63" t="str">
        <f t="shared" si="1"/>
        <v>February</v>
      </c>
      <c r="T63">
        <f t="shared" si="2"/>
        <v>2</v>
      </c>
      <c r="U63" t="str">
        <f t="shared" si="3"/>
        <v>Sunday</v>
      </c>
    </row>
    <row r="64" spans="1:21" x14ac:dyDescent="0.2">
      <c r="A64" t="s">
        <v>101</v>
      </c>
      <c r="B64" t="s">
        <v>45</v>
      </c>
      <c r="C64" t="s">
        <v>46</v>
      </c>
      <c r="D64" t="s">
        <v>24</v>
      </c>
      <c r="E64" t="s">
        <v>25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27</v>
      </c>
      <c r="N64">
        <v>495.63</v>
      </c>
      <c r="O64">
        <v>4.7619047620000003</v>
      </c>
      <c r="P64">
        <v>24.781500000000001</v>
      </c>
      <c r="Q64">
        <v>10</v>
      </c>
      <c r="R64" s="3">
        <f t="shared" si="0"/>
        <v>495.63</v>
      </c>
      <c r="S64" t="str">
        <f t="shared" si="1"/>
        <v>March</v>
      </c>
      <c r="T64">
        <f t="shared" si="2"/>
        <v>3</v>
      </c>
      <c r="U64" t="str">
        <f t="shared" si="3"/>
        <v>Saturday</v>
      </c>
    </row>
    <row r="65" spans="1:21" x14ac:dyDescent="0.2">
      <c r="A65" t="s">
        <v>102</v>
      </c>
      <c r="B65" t="s">
        <v>22</v>
      </c>
      <c r="C65" t="s">
        <v>23</v>
      </c>
      <c r="D65" t="s">
        <v>24</v>
      </c>
      <c r="E65" t="s">
        <v>25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  <c r="R65" s="3">
        <f t="shared" si="0"/>
        <v>158.1</v>
      </c>
      <c r="S65" t="str">
        <f t="shared" si="1"/>
        <v>June</v>
      </c>
      <c r="T65">
        <f t="shared" si="2"/>
        <v>6</v>
      </c>
      <c r="U65" t="str">
        <f t="shared" si="3"/>
        <v>Monday</v>
      </c>
    </row>
    <row r="66" spans="1:21" x14ac:dyDescent="0.2">
      <c r="A66" t="s">
        <v>103</v>
      </c>
      <c r="B66" t="s">
        <v>45</v>
      </c>
      <c r="C66" t="s">
        <v>46</v>
      </c>
      <c r="D66" t="s">
        <v>24</v>
      </c>
      <c r="E66" t="s">
        <v>25</v>
      </c>
      <c r="F66" t="s">
        <v>26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33</v>
      </c>
      <c r="N66">
        <v>302.95999999999998</v>
      </c>
      <c r="O66">
        <v>4.7619047620000003</v>
      </c>
      <c r="P66">
        <v>15.148</v>
      </c>
      <c r="Q66">
        <v>7.6</v>
      </c>
      <c r="R66" s="3">
        <f t="shared" si="0"/>
        <v>302.95999999999998</v>
      </c>
      <c r="S66" t="str">
        <f t="shared" si="1"/>
        <v>February</v>
      </c>
      <c r="T66">
        <f t="shared" si="2"/>
        <v>2</v>
      </c>
      <c r="U66" t="str">
        <f t="shared" si="3"/>
        <v>Thursday</v>
      </c>
    </row>
    <row r="67" spans="1:21" x14ac:dyDescent="0.2">
      <c r="A67" t="s">
        <v>104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33</v>
      </c>
      <c r="N67">
        <v>158.69999999999999</v>
      </c>
      <c r="O67">
        <v>4.7619047620000003</v>
      </c>
      <c r="P67">
        <v>7.9349999999999996</v>
      </c>
      <c r="Q67">
        <v>5.8</v>
      </c>
      <c r="R67" s="3">
        <f t="shared" ref="R67:R130" si="4">H67*G67</f>
        <v>158.69999999999999</v>
      </c>
      <c r="S67" t="str">
        <f t="shared" ref="S67:S130" si="5">TEXT(K67,"mmmm")</f>
        <v>March</v>
      </c>
      <c r="T67">
        <f t="shared" ref="T67:T130" si="6">MONTH(K67)</f>
        <v>3</v>
      </c>
      <c r="U67" t="str">
        <f t="shared" ref="U67:U130" si="7">TEXT(K67,"dddd")</f>
        <v>Wednesday</v>
      </c>
    </row>
    <row r="68" spans="1:21" x14ac:dyDescent="0.2">
      <c r="A68" t="s">
        <v>105</v>
      </c>
      <c r="B68" t="s">
        <v>29</v>
      </c>
      <c r="C68" t="s">
        <v>30</v>
      </c>
      <c r="D68" t="s">
        <v>24</v>
      </c>
      <c r="E68" t="s">
        <v>25</v>
      </c>
      <c r="F68" t="s">
        <v>26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27</v>
      </c>
      <c r="N68">
        <v>66.94</v>
      </c>
      <c r="O68">
        <v>4.7619047620000003</v>
      </c>
      <c r="P68">
        <v>3.347</v>
      </c>
      <c r="Q68">
        <v>6.7</v>
      </c>
      <c r="R68" s="3">
        <f t="shared" si="4"/>
        <v>66.94</v>
      </c>
      <c r="S68" t="str">
        <f t="shared" si="5"/>
        <v>October</v>
      </c>
      <c r="T68">
        <f t="shared" si="6"/>
        <v>10</v>
      </c>
      <c r="U68" t="str">
        <f t="shared" si="7"/>
        <v>Wednesday</v>
      </c>
    </row>
    <row r="69" spans="1:21" x14ac:dyDescent="0.2">
      <c r="A69" t="s">
        <v>106</v>
      </c>
      <c r="B69" t="s">
        <v>45</v>
      </c>
      <c r="C69" t="s">
        <v>46</v>
      </c>
      <c r="D69" t="s">
        <v>24</v>
      </c>
      <c r="E69" t="s">
        <v>25</v>
      </c>
      <c r="F69" t="s">
        <v>49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27</v>
      </c>
      <c r="N69">
        <v>585.66</v>
      </c>
      <c r="O69">
        <v>4.7619047620000003</v>
      </c>
      <c r="P69">
        <v>29.283000000000001</v>
      </c>
      <c r="Q69">
        <v>9.9</v>
      </c>
      <c r="R69" s="3">
        <f t="shared" si="4"/>
        <v>585.66</v>
      </c>
      <c r="S69" t="str">
        <f t="shared" si="5"/>
        <v>July</v>
      </c>
      <c r="T69">
        <f t="shared" si="6"/>
        <v>7</v>
      </c>
      <c r="U69" t="str">
        <f t="shared" si="7"/>
        <v>Monday</v>
      </c>
    </row>
    <row r="70" spans="1:21" x14ac:dyDescent="0.2">
      <c r="A70" t="s">
        <v>107</v>
      </c>
      <c r="B70" t="s">
        <v>22</v>
      </c>
      <c r="C70" t="s">
        <v>23</v>
      </c>
      <c r="D70" t="s">
        <v>24</v>
      </c>
      <c r="E70" t="s">
        <v>25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33</v>
      </c>
      <c r="N70">
        <v>787.7</v>
      </c>
      <c r="O70">
        <v>4.7619047620000003</v>
      </c>
      <c r="P70">
        <v>39.384999999999998</v>
      </c>
      <c r="Q70">
        <v>6.4</v>
      </c>
      <c r="R70" s="3">
        <f t="shared" si="4"/>
        <v>787.69999999999993</v>
      </c>
      <c r="S70" t="str">
        <f t="shared" si="5"/>
        <v>January</v>
      </c>
      <c r="T70">
        <f t="shared" si="6"/>
        <v>1</v>
      </c>
      <c r="U70" t="str">
        <f t="shared" si="7"/>
        <v>Thursday</v>
      </c>
    </row>
    <row r="71" spans="1:21" x14ac:dyDescent="0.2">
      <c r="A71" t="s">
        <v>108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33</v>
      </c>
      <c r="N71">
        <v>18.329999999999998</v>
      </c>
      <c r="O71">
        <v>4.7619047620000003</v>
      </c>
      <c r="P71">
        <v>0.91649999999999998</v>
      </c>
      <c r="Q71">
        <v>4.3</v>
      </c>
      <c r="R71" s="3">
        <f t="shared" si="4"/>
        <v>18.329999999999998</v>
      </c>
      <c r="S71" t="str">
        <f t="shared" si="5"/>
        <v>February</v>
      </c>
      <c r="T71">
        <f t="shared" si="6"/>
        <v>2</v>
      </c>
      <c r="U71" t="str">
        <f t="shared" si="7"/>
        <v>Saturday</v>
      </c>
    </row>
    <row r="72" spans="1:21" x14ac:dyDescent="0.2">
      <c r="A72" t="s">
        <v>109</v>
      </c>
      <c r="B72" t="s">
        <v>29</v>
      </c>
      <c r="C72" t="s">
        <v>30</v>
      </c>
      <c r="D72" t="s">
        <v>24</v>
      </c>
      <c r="E72" t="s">
        <v>25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  <c r="R72" s="3">
        <f t="shared" si="4"/>
        <v>894.80000000000007</v>
      </c>
      <c r="S72" t="str">
        <f t="shared" si="5"/>
        <v>June</v>
      </c>
      <c r="T72">
        <f t="shared" si="6"/>
        <v>6</v>
      </c>
      <c r="U72" t="str">
        <f t="shared" si="7"/>
        <v>Saturday</v>
      </c>
    </row>
    <row r="73" spans="1:21" x14ac:dyDescent="0.2">
      <c r="A73" t="s">
        <v>110</v>
      </c>
      <c r="B73" t="s">
        <v>29</v>
      </c>
      <c r="C73" t="s">
        <v>30</v>
      </c>
      <c r="D73" t="s">
        <v>24</v>
      </c>
      <c r="E73" t="s">
        <v>25</v>
      </c>
      <c r="F73" t="s">
        <v>49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33</v>
      </c>
      <c r="N73">
        <v>621.20000000000005</v>
      </c>
      <c r="O73">
        <v>4.7619047620000003</v>
      </c>
      <c r="P73">
        <v>31.06</v>
      </c>
      <c r="Q73">
        <v>5.9</v>
      </c>
      <c r="R73" s="3">
        <f t="shared" si="4"/>
        <v>621.19999999999993</v>
      </c>
      <c r="S73" t="str">
        <f t="shared" si="5"/>
        <v>November</v>
      </c>
      <c r="T73">
        <f t="shared" si="6"/>
        <v>11</v>
      </c>
      <c r="U73" t="str">
        <f t="shared" si="7"/>
        <v>Saturday</v>
      </c>
    </row>
    <row r="74" spans="1:21" x14ac:dyDescent="0.2">
      <c r="A74" t="s">
        <v>111</v>
      </c>
      <c r="B74" t="s">
        <v>45</v>
      </c>
      <c r="C74" t="s">
        <v>46</v>
      </c>
      <c r="D74" t="s">
        <v>24</v>
      </c>
      <c r="E74" t="s">
        <v>25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27</v>
      </c>
      <c r="N74">
        <v>145.56</v>
      </c>
      <c r="O74">
        <v>4.7619047620000003</v>
      </c>
      <c r="P74">
        <v>7.2779999999999996</v>
      </c>
      <c r="Q74">
        <v>4</v>
      </c>
      <c r="R74" s="3">
        <f t="shared" si="4"/>
        <v>145.56</v>
      </c>
      <c r="S74" t="str">
        <f t="shared" si="5"/>
        <v>May</v>
      </c>
      <c r="T74">
        <f t="shared" si="6"/>
        <v>5</v>
      </c>
      <c r="U74" t="str">
        <f t="shared" si="7"/>
        <v>Friday</v>
      </c>
    </row>
    <row r="75" spans="1:21" x14ac:dyDescent="0.2">
      <c r="A75" t="s">
        <v>112</v>
      </c>
      <c r="B75" t="s">
        <v>29</v>
      </c>
      <c r="C75" t="s">
        <v>30</v>
      </c>
      <c r="D75" t="s">
        <v>24</v>
      </c>
      <c r="E75" t="s">
        <v>25</v>
      </c>
      <c r="F75" t="s">
        <v>32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33</v>
      </c>
      <c r="N75">
        <v>455.46</v>
      </c>
      <c r="O75">
        <v>4.7619047620000003</v>
      </c>
      <c r="P75">
        <v>22.773</v>
      </c>
      <c r="Q75">
        <v>8.6999999999999993</v>
      </c>
      <c r="R75" s="3">
        <f t="shared" si="4"/>
        <v>455.46</v>
      </c>
      <c r="S75" t="str">
        <f t="shared" si="5"/>
        <v>September</v>
      </c>
      <c r="T75">
        <f t="shared" si="6"/>
        <v>9</v>
      </c>
      <c r="U75" t="str">
        <f t="shared" si="7"/>
        <v>Tuesday</v>
      </c>
    </row>
    <row r="76" spans="1:21" x14ac:dyDescent="0.2">
      <c r="A76" t="s">
        <v>113</v>
      </c>
      <c r="B76" t="s">
        <v>22</v>
      </c>
      <c r="C76" t="s">
        <v>23</v>
      </c>
      <c r="D76" t="s">
        <v>24</v>
      </c>
      <c r="E76" t="s">
        <v>25</v>
      </c>
      <c r="F76" t="s">
        <v>35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27</v>
      </c>
      <c r="N76">
        <v>672.03</v>
      </c>
      <c r="O76">
        <v>4.7619047620000003</v>
      </c>
      <c r="P76">
        <v>33.601500000000001</v>
      </c>
      <c r="Q76">
        <v>9.4</v>
      </c>
      <c r="R76" s="3">
        <f t="shared" si="4"/>
        <v>672.03</v>
      </c>
      <c r="S76" t="str">
        <f t="shared" si="5"/>
        <v>January</v>
      </c>
      <c r="T76">
        <f t="shared" si="6"/>
        <v>1</v>
      </c>
      <c r="U76" t="str">
        <f t="shared" si="7"/>
        <v>Tuesday</v>
      </c>
    </row>
    <row r="77" spans="1:21" x14ac:dyDescent="0.2">
      <c r="A77" t="s">
        <v>114</v>
      </c>
      <c r="B77" t="s">
        <v>29</v>
      </c>
      <c r="C77" t="s">
        <v>30</v>
      </c>
      <c r="D77" t="s">
        <v>24</v>
      </c>
      <c r="E77" t="s">
        <v>25</v>
      </c>
      <c r="F77" t="s">
        <v>32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  <c r="R77" s="3">
        <f t="shared" si="4"/>
        <v>416.5</v>
      </c>
      <c r="S77" t="str">
        <f t="shared" si="5"/>
        <v>January</v>
      </c>
      <c r="T77">
        <f t="shared" si="6"/>
        <v>1</v>
      </c>
      <c r="U77" t="str">
        <f t="shared" si="7"/>
        <v>Sunday</v>
      </c>
    </row>
    <row r="78" spans="1:21" x14ac:dyDescent="0.2">
      <c r="A78" t="s">
        <v>115</v>
      </c>
      <c r="B78" t="s">
        <v>29</v>
      </c>
      <c r="C78" t="s">
        <v>30</v>
      </c>
      <c r="D78" t="s">
        <v>24</v>
      </c>
      <c r="E78" t="s">
        <v>25</v>
      </c>
      <c r="F78" t="s">
        <v>49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  <c r="R78" s="3">
        <f t="shared" si="4"/>
        <v>441.36</v>
      </c>
      <c r="S78" t="str">
        <f t="shared" si="5"/>
        <v>September</v>
      </c>
      <c r="T78">
        <f t="shared" si="6"/>
        <v>9</v>
      </c>
      <c r="U78" t="str">
        <f t="shared" si="7"/>
        <v>Sunday</v>
      </c>
    </row>
    <row r="79" spans="1:21" x14ac:dyDescent="0.2">
      <c r="A79" t="s">
        <v>116</v>
      </c>
      <c r="B79" t="s">
        <v>22</v>
      </c>
      <c r="C79" t="s">
        <v>23</v>
      </c>
      <c r="D79" t="s">
        <v>24</v>
      </c>
      <c r="E79" t="s">
        <v>25</v>
      </c>
      <c r="F79" t="s">
        <v>49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  <c r="R79" s="3">
        <f t="shared" si="4"/>
        <v>180.09</v>
      </c>
      <c r="S79" t="str">
        <f t="shared" si="5"/>
        <v>December</v>
      </c>
      <c r="T79">
        <f t="shared" si="6"/>
        <v>12</v>
      </c>
      <c r="U79" t="str">
        <f t="shared" si="7"/>
        <v>Sunday</v>
      </c>
    </row>
    <row r="80" spans="1:21" x14ac:dyDescent="0.2">
      <c r="A80" t="s">
        <v>117</v>
      </c>
      <c r="B80" t="s">
        <v>29</v>
      </c>
      <c r="C80" t="s">
        <v>30</v>
      </c>
      <c r="D80" t="s">
        <v>24</v>
      </c>
      <c r="E80" t="s">
        <v>25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27</v>
      </c>
      <c r="N80">
        <v>783.1</v>
      </c>
      <c r="O80">
        <v>4.7619047620000003</v>
      </c>
      <c r="P80">
        <v>39.155000000000001</v>
      </c>
      <c r="Q80">
        <v>6.6</v>
      </c>
      <c r="R80" s="3">
        <f t="shared" si="4"/>
        <v>783.1</v>
      </c>
      <c r="S80" t="str">
        <f t="shared" si="5"/>
        <v>May</v>
      </c>
      <c r="T80">
        <f t="shared" si="6"/>
        <v>5</v>
      </c>
      <c r="U80" t="str">
        <f t="shared" si="7"/>
        <v>Friday</v>
      </c>
    </row>
    <row r="81" spans="1:21" x14ac:dyDescent="0.2">
      <c r="A81" t="s">
        <v>118</v>
      </c>
      <c r="B81" t="s">
        <v>29</v>
      </c>
      <c r="C81" t="s">
        <v>30</v>
      </c>
      <c r="D81" t="s">
        <v>24</v>
      </c>
      <c r="E81" t="s">
        <v>25</v>
      </c>
      <c r="F81" t="s">
        <v>26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33</v>
      </c>
      <c r="N81">
        <v>101.9</v>
      </c>
      <c r="O81">
        <v>4.7619047620000003</v>
      </c>
      <c r="P81">
        <v>5.0949999999999998</v>
      </c>
      <c r="Q81">
        <v>6</v>
      </c>
      <c r="R81" s="3">
        <f t="shared" si="4"/>
        <v>101.89999999999999</v>
      </c>
      <c r="S81" t="str">
        <f t="shared" si="5"/>
        <v>January</v>
      </c>
      <c r="T81">
        <f t="shared" si="6"/>
        <v>1</v>
      </c>
      <c r="U81" t="str">
        <f t="shared" si="7"/>
        <v>Tuesday</v>
      </c>
    </row>
    <row r="82" spans="1:21" x14ac:dyDescent="0.2">
      <c r="A82" t="s">
        <v>119</v>
      </c>
      <c r="B82" t="s">
        <v>29</v>
      </c>
      <c r="C82" t="s">
        <v>30</v>
      </c>
      <c r="D82" t="s">
        <v>24</v>
      </c>
      <c r="E82" t="s">
        <v>25</v>
      </c>
      <c r="F82" t="s">
        <v>26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  <c r="R82" s="3">
        <f t="shared" si="4"/>
        <v>595.14</v>
      </c>
      <c r="S82" t="str">
        <f t="shared" si="5"/>
        <v>January</v>
      </c>
      <c r="T82">
        <f t="shared" si="6"/>
        <v>1</v>
      </c>
      <c r="U82" t="str">
        <f t="shared" si="7"/>
        <v>Monday</v>
      </c>
    </row>
    <row r="83" spans="1:21" x14ac:dyDescent="0.2">
      <c r="A83" t="s">
        <v>120</v>
      </c>
      <c r="B83" t="s">
        <v>45</v>
      </c>
      <c r="C83" t="s">
        <v>46</v>
      </c>
      <c r="D83" t="s">
        <v>24</v>
      </c>
      <c r="E83" t="s">
        <v>25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27</v>
      </c>
      <c r="N83">
        <v>290.04000000000002</v>
      </c>
      <c r="O83">
        <v>4.7619047620000003</v>
      </c>
      <c r="P83">
        <v>14.502000000000001</v>
      </c>
      <c r="Q83">
        <v>6.4</v>
      </c>
      <c r="R83" s="3">
        <f t="shared" si="4"/>
        <v>290.04000000000002</v>
      </c>
      <c r="S83" t="str">
        <f t="shared" si="5"/>
        <v>January</v>
      </c>
      <c r="T83">
        <f t="shared" si="6"/>
        <v>1</v>
      </c>
      <c r="U83" t="str">
        <f t="shared" si="7"/>
        <v>Saturday</v>
      </c>
    </row>
    <row r="84" spans="1:21" x14ac:dyDescent="0.2">
      <c r="A84" t="s">
        <v>121</v>
      </c>
      <c r="B84" t="s">
        <v>29</v>
      </c>
      <c r="C84" t="s">
        <v>30</v>
      </c>
      <c r="D84" t="s">
        <v>24</v>
      </c>
      <c r="E84" t="s">
        <v>25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27</v>
      </c>
      <c r="N84">
        <v>154</v>
      </c>
      <c r="O84">
        <v>4.7619047620000003</v>
      </c>
      <c r="P84">
        <v>7.7</v>
      </c>
      <c r="Q84">
        <v>6.6</v>
      </c>
      <c r="R84" s="3">
        <f t="shared" si="4"/>
        <v>154</v>
      </c>
      <c r="S84" t="str">
        <f t="shared" si="5"/>
        <v>January</v>
      </c>
      <c r="T84">
        <f t="shared" si="6"/>
        <v>1</v>
      </c>
      <c r="U84" t="str">
        <f t="shared" si="7"/>
        <v>Wednesday</v>
      </c>
    </row>
    <row r="85" spans="1:21" x14ac:dyDescent="0.2">
      <c r="A85" t="s">
        <v>122</v>
      </c>
      <c r="B85" t="s">
        <v>29</v>
      </c>
      <c r="C85" t="s">
        <v>30</v>
      </c>
      <c r="D85" t="s">
        <v>24</v>
      </c>
      <c r="E85" t="s">
        <v>25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  <c r="R85" s="3">
        <f t="shared" si="4"/>
        <v>321.44</v>
      </c>
      <c r="S85" t="str">
        <f t="shared" si="5"/>
        <v>February</v>
      </c>
      <c r="T85">
        <f t="shared" si="6"/>
        <v>2</v>
      </c>
      <c r="U85" t="str">
        <f t="shared" si="7"/>
        <v>Saturday</v>
      </c>
    </row>
    <row r="86" spans="1:21" x14ac:dyDescent="0.2">
      <c r="A86" t="s">
        <v>123</v>
      </c>
      <c r="B86" t="s">
        <v>29</v>
      </c>
      <c r="C86" t="s">
        <v>30</v>
      </c>
      <c r="D86" t="s">
        <v>24</v>
      </c>
      <c r="E86" t="s">
        <v>25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33</v>
      </c>
      <c r="N86">
        <v>244.55</v>
      </c>
      <c r="O86">
        <v>4.7619047620000003</v>
      </c>
      <c r="P86">
        <v>12.227499999999999</v>
      </c>
      <c r="Q86">
        <v>6.6</v>
      </c>
      <c r="R86" s="3">
        <f t="shared" si="4"/>
        <v>244.54999999999998</v>
      </c>
      <c r="S86" t="str">
        <f t="shared" si="5"/>
        <v>September</v>
      </c>
      <c r="T86">
        <f t="shared" si="6"/>
        <v>9</v>
      </c>
      <c r="U86" t="str">
        <f t="shared" si="7"/>
        <v>Tuesday</v>
      </c>
    </row>
    <row r="87" spans="1:21" x14ac:dyDescent="0.2">
      <c r="A87" t="s">
        <v>124</v>
      </c>
      <c r="B87" t="s">
        <v>29</v>
      </c>
      <c r="C87" t="s">
        <v>30</v>
      </c>
      <c r="D87" t="s">
        <v>24</v>
      </c>
      <c r="E87" t="s">
        <v>25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27</v>
      </c>
      <c r="N87">
        <v>581.41999999999996</v>
      </c>
      <c r="O87">
        <v>4.7619047620000003</v>
      </c>
      <c r="P87">
        <v>29.071000000000002</v>
      </c>
      <c r="Q87">
        <v>4</v>
      </c>
      <c r="R87" s="3">
        <f t="shared" si="4"/>
        <v>581.42000000000007</v>
      </c>
      <c r="S87" t="str">
        <f t="shared" si="5"/>
        <v>May</v>
      </c>
      <c r="T87">
        <f t="shared" si="6"/>
        <v>5</v>
      </c>
      <c r="U87" t="str">
        <f t="shared" si="7"/>
        <v>Friday</v>
      </c>
    </row>
    <row r="88" spans="1:21" x14ac:dyDescent="0.2">
      <c r="A88" t="s">
        <v>125</v>
      </c>
      <c r="B88" t="s">
        <v>29</v>
      </c>
      <c r="C88" t="s">
        <v>30</v>
      </c>
      <c r="D88" t="s">
        <v>24</v>
      </c>
      <c r="E88" t="s">
        <v>25</v>
      </c>
      <c r="F88" t="s">
        <v>49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33</v>
      </c>
      <c r="N88">
        <v>382.6</v>
      </c>
      <c r="O88">
        <v>4.7619047620000003</v>
      </c>
      <c r="P88">
        <v>19.13</v>
      </c>
      <c r="Q88">
        <v>9.9</v>
      </c>
      <c r="R88" s="3">
        <f t="shared" si="4"/>
        <v>382.59999999999997</v>
      </c>
      <c r="S88" t="str">
        <f t="shared" si="5"/>
        <v>March</v>
      </c>
      <c r="T88">
        <f t="shared" si="6"/>
        <v>3</v>
      </c>
      <c r="U88" t="str">
        <f t="shared" si="7"/>
        <v>Monday</v>
      </c>
    </row>
    <row r="89" spans="1:21" x14ac:dyDescent="0.2">
      <c r="A89" t="s">
        <v>126</v>
      </c>
      <c r="B89" t="s">
        <v>22</v>
      </c>
      <c r="C89" t="s">
        <v>23</v>
      </c>
      <c r="D89" t="s">
        <v>24</v>
      </c>
      <c r="E89" t="s">
        <v>25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  <c r="R89" s="3">
        <f t="shared" si="4"/>
        <v>345.66</v>
      </c>
      <c r="S89" t="str">
        <f t="shared" si="5"/>
        <v>March</v>
      </c>
      <c r="T89">
        <f t="shared" si="6"/>
        <v>3</v>
      </c>
      <c r="U89" t="str">
        <f t="shared" si="7"/>
        <v>Wednesday</v>
      </c>
    </row>
    <row r="90" spans="1:21" x14ac:dyDescent="0.2">
      <c r="A90" t="s">
        <v>127</v>
      </c>
      <c r="B90" t="s">
        <v>22</v>
      </c>
      <c r="C90" t="s">
        <v>23</v>
      </c>
      <c r="D90" t="s">
        <v>24</v>
      </c>
      <c r="E90" t="s">
        <v>25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33</v>
      </c>
      <c r="N90">
        <v>42.47</v>
      </c>
      <c r="O90">
        <v>4.7619047620000003</v>
      </c>
      <c r="P90">
        <v>2.1234999999999999</v>
      </c>
      <c r="Q90">
        <v>5.7</v>
      </c>
      <c r="R90" s="3">
        <f t="shared" si="4"/>
        <v>42.47</v>
      </c>
      <c r="S90" t="str">
        <f t="shared" si="5"/>
        <v>February</v>
      </c>
      <c r="T90">
        <f t="shared" si="6"/>
        <v>2</v>
      </c>
      <c r="U90" t="str">
        <f t="shared" si="7"/>
        <v>Friday</v>
      </c>
    </row>
    <row r="91" spans="1:21" x14ac:dyDescent="0.2">
      <c r="A91" t="s">
        <v>128</v>
      </c>
      <c r="B91" t="s">
        <v>45</v>
      </c>
      <c r="C91" t="s">
        <v>46</v>
      </c>
      <c r="D91" t="s">
        <v>24</v>
      </c>
      <c r="E91" t="s">
        <v>25</v>
      </c>
      <c r="F91" t="s">
        <v>26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33</v>
      </c>
      <c r="N91">
        <v>461.94</v>
      </c>
      <c r="O91">
        <v>4.7619047620000003</v>
      </c>
      <c r="P91">
        <v>23.097000000000001</v>
      </c>
      <c r="Q91">
        <v>6.1</v>
      </c>
      <c r="R91" s="3">
        <f t="shared" si="4"/>
        <v>461.93999999999994</v>
      </c>
      <c r="S91" t="str">
        <f t="shared" si="5"/>
        <v>February</v>
      </c>
      <c r="T91">
        <f t="shared" si="6"/>
        <v>2</v>
      </c>
      <c r="U91" t="str">
        <f t="shared" si="7"/>
        <v>Wednesday</v>
      </c>
    </row>
    <row r="92" spans="1:21" x14ac:dyDescent="0.2">
      <c r="A92" t="s">
        <v>129</v>
      </c>
      <c r="B92" t="s">
        <v>29</v>
      </c>
      <c r="C92" t="s">
        <v>30</v>
      </c>
      <c r="D92" t="s">
        <v>24</v>
      </c>
      <c r="E92" t="s">
        <v>25</v>
      </c>
      <c r="F92" t="s">
        <v>35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33</v>
      </c>
      <c r="N92">
        <v>189.52</v>
      </c>
      <c r="O92">
        <v>4.7619047620000003</v>
      </c>
      <c r="P92">
        <v>9.4760000000000009</v>
      </c>
      <c r="Q92">
        <v>7.1</v>
      </c>
      <c r="R92" s="3">
        <f t="shared" si="4"/>
        <v>189.52</v>
      </c>
      <c r="S92" t="str">
        <f t="shared" si="5"/>
        <v>January</v>
      </c>
      <c r="T92">
        <f t="shared" si="6"/>
        <v>1</v>
      </c>
      <c r="U92" t="str">
        <f t="shared" si="7"/>
        <v>Wednesday</v>
      </c>
    </row>
    <row r="93" spans="1:21" x14ac:dyDescent="0.2">
      <c r="A93" t="s">
        <v>130</v>
      </c>
      <c r="B93" t="s">
        <v>29</v>
      </c>
      <c r="C93" t="s">
        <v>30</v>
      </c>
      <c r="D93" t="s">
        <v>24</v>
      </c>
      <c r="E93" t="s">
        <v>25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27</v>
      </c>
      <c r="N93">
        <v>448.6</v>
      </c>
      <c r="O93">
        <v>4.7619047620000003</v>
      </c>
      <c r="P93">
        <v>22.43</v>
      </c>
      <c r="Q93">
        <v>8.1999999999999993</v>
      </c>
      <c r="R93" s="3">
        <f t="shared" si="4"/>
        <v>448.6</v>
      </c>
      <c r="S93" t="str">
        <f t="shared" si="5"/>
        <v>January</v>
      </c>
      <c r="T93">
        <f t="shared" si="6"/>
        <v>1</v>
      </c>
      <c r="U93" t="str">
        <f t="shared" si="7"/>
        <v>Saturday</v>
      </c>
    </row>
    <row r="94" spans="1:21" x14ac:dyDescent="0.2">
      <c r="A94" t="s">
        <v>131</v>
      </c>
      <c r="B94" t="s">
        <v>22</v>
      </c>
      <c r="C94" t="s">
        <v>23</v>
      </c>
      <c r="D94" t="s">
        <v>24</v>
      </c>
      <c r="E94" t="s">
        <v>25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27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3">
        <f t="shared" si="4"/>
        <v>153.86000000000001</v>
      </c>
      <c r="S94" t="str">
        <f t="shared" si="5"/>
        <v>October</v>
      </c>
      <c r="T94">
        <f t="shared" si="6"/>
        <v>10</v>
      </c>
      <c r="U94" t="str">
        <f t="shared" si="7"/>
        <v>Tuesday</v>
      </c>
    </row>
    <row r="95" spans="1:21" x14ac:dyDescent="0.2">
      <c r="A95" t="s">
        <v>132</v>
      </c>
      <c r="B95" t="s">
        <v>45</v>
      </c>
      <c r="C95" t="s">
        <v>46</v>
      </c>
      <c r="D95" t="s">
        <v>24</v>
      </c>
      <c r="E95" t="s">
        <v>25</v>
      </c>
      <c r="F95" t="s">
        <v>26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  <c r="R95" s="3">
        <f t="shared" si="4"/>
        <v>579.24</v>
      </c>
      <c r="S95" t="str">
        <f t="shared" si="5"/>
        <v>December</v>
      </c>
      <c r="T95">
        <f t="shared" si="6"/>
        <v>12</v>
      </c>
      <c r="U95" t="str">
        <f t="shared" si="7"/>
        <v>Tuesday</v>
      </c>
    </row>
    <row r="96" spans="1:21" x14ac:dyDescent="0.2">
      <c r="A96" t="s">
        <v>133</v>
      </c>
      <c r="B96" t="s">
        <v>29</v>
      </c>
      <c r="C96" t="s">
        <v>30</v>
      </c>
      <c r="D96" t="s">
        <v>24</v>
      </c>
      <c r="E96" t="s">
        <v>25</v>
      </c>
      <c r="F96" t="s">
        <v>26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  <c r="R96" s="3">
        <f t="shared" si="4"/>
        <v>89.75</v>
      </c>
      <c r="S96" t="str">
        <f t="shared" si="5"/>
        <v>June</v>
      </c>
      <c r="T96">
        <f t="shared" si="6"/>
        <v>6</v>
      </c>
      <c r="U96" t="str">
        <f t="shared" si="7"/>
        <v>Sunday</v>
      </c>
    </row>
    <row r="97" spans="1:21" x14ac:dyDescent="0.2">
      <c r="A97" t="s">
        <v>134</v>
      </c>
      <c r="B97" t="s">
        <v>22</v>
      </c>
      <c r="C97" t="s">
        <v>23</v>
      </c>
      <c r="D97" t="s">
        <v>24</v>
      </c>
      <c r="E97" t="s">
        <v>25</v>
      </c>
      <c r="F97" t="s">
        <v>32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27</v>
      </c>
      <c r="N97">
        <v>97.16</v>
      </c>
      <c r="O97">
        <v>4.7619047620000003</v>
      </c>
      <c r="P97">
        <v>4.8579999999999997</v>
      </c>
      <c r="Q97">
        <v>7.2</v>
      </c>
      <c r="R97" s="3">
        <f t="shared" si="4"/>
        <v>97.16</v>
      </c>
      <c r="S97" t="str">
        <f t="shared" si="5"/>
        <v>August</v>
      </c>
      <c r="T97">
        <f t="shared" si="6"/>
        <v>8</v>
      </c>
      <c r="U97" t="str">
        <f t="shared" si="7"/>
        <v>Saturday</v>
      </c>
    </row>
    <row r="98" spans="1:21" x14ac:dyDescent="0.2">
      <c r="A98" t="s">
        <v>135</v>
      </c>
      <c r="B98" t="s">
        <v>45</v>
      </c>
      <c r="C98" t="s">
        <v>46</v>
      </c>
      <c r="D98" t="s">
        <v>24</v>
      </c>
      <c r="E98" t="s">
        <v>25</v>
      </c>
      <c r="F98" t="s">
        <v>26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27</v>
      </c>
      <c r="N98">
        <v>878.7</v>
      </c>
      <c r="O98">
        <v>4.7619047620000003</v>
      </c>
      <c r="P98">
        <v>43.935000000000002</v>
      </c>
      <c r="Q98">
        <v>5.0999999999999996</v>
      </c>
      <c r="R98" s="3">
        <f t="shared" si="4"/>
        <v>878.7</v>
      </c>
      <c r="S98" t="str">
        <f t="shared" si="5"/>
        <v>March</v>
      </c>
      <c r="T98">
        <f t="shared" si="6"/>
        <v>3</v>
      </c>
      <c r="U98" t="str">
        <f t="shared" si="7"/>
        <v>Friday</v>
      </c>
    </row>
    <row r="99" spans="1:21" x14ac:dyDescent="0.2">
      <c r="A99" t="s">
        <v>136</v>
      </c>
      <c r="B99" t="s">
        <v>29</v>
      </c>
      <c r="C99" t="s">
        <v>30</v>
      </c>
      <c r="D99" t="s">
        <v>24</v>
      </c>
      <c r="E99" t="s">
        <v>25</v>
      </c>
      <c r="F99" t="s">
        <v>32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33</v>
      </c>
      <c r="N99">
        <v>74.7</v>
      </c>
      <c r="O99">
        <v>4.7619047620000003</v>
      </c>
      <c r="P99">
        <v>3.7349999999999999</v>
      </c>
      <c r="Q99">
        <v>4.0999999999999996</v>
      </c>
      <c r="R99" s="3">
        <f t="shared" si="4"/>
        <v>74.699999999999989</v>
      </c>
      <c r="S99" t="str">
        <f t="shared" si="5"/>
        <v>September</v>
      </c>
      <c r="T99">
        <f t="shared" si="6"/>
        <v>9</v>
      </c>
      <c r="U99" t="str">
        <f t="shared" si="7"/>
        <v>Monday</v>
      </c>
    </row>
    <row r="100" spans="1:21" x14ac:dyDescent="0.2">
      <c r="A100" t="s">
        <v>137</v>
      </c>
      <c r="B100" t="s">
        <v>22</v>
      </c>
      <c r="C100" t="s">
        <v>23</v>
      </c>
      <c r="D100" t="s">
        <v>24</v>
      </c>
      <c r="E100" t="s">
        <v>25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27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3">
        <f t="shared" si="4"/>
        <v>158.25</v>
      </c>
      <c r="S100" t="str">
        <f t="shared" si="5"/>
        <v>March</v>
      </c>
      <c r="T100">
        <f t="shared" si="6"/>
        <v>3</v>
      </c>
      <c r="U100" t="str">
        <f t="shared" si="7"/>
        <v>Saturday</v>
      </c>
    </row>
    <row r="101" spans="1:21" x14ac:dyDescent="0.2">
      <c r="A101" t="s">
        <v>138</v>
      </c>
      <c r="B101" t="s">
        <v>45</v>
      </c>
      <c r="C101" t="s">
        <v>46</v>
      </c>
      <c r="D101" t="s">
        <v>24</v>
      </c>
      <c r="E101" t="s">
        <v>25</v>
      </c>
      <c r="F101" t="s">
        <v>35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33</v>
      </c>
      <c r="N101">
        <v>496.2</v>
      </c>
      <c r="O101">
        <v>4.7619047620000003</v>
      </c>
      <c r="P101">
        <v>24.81</v>
      </c>
      <c r="Q101">
        <v>7.4</v>
      </c>
      <c r="R101" s="3">
        <f t="shared" si="4"/>
        <v>496.20000000000005</v>
      </c>
      <c r="S101" t="str">
        <f t="shared" si="5"/>
        <v>May</v>
      </c>
      <c r="T101">
        <f t="shared" si="6"/>
        <v>5</v>
      </c>
      <c r="U101" t="str">
        <f t="shared" si="7"/>
        <v>Friday</v>
      </c>
    </row>
    <row r="102" spans="1:21" x14ac:dyDescent="0.2">
      <c r="A102" t="s">
        <v>139</v>
      </c>
      <c r="B102" t="s">
        <v>29</v>
      </c>
      <c r="C102" t="s">
        <v>30</v>
      </c>
      <c r="D102" t="s">
        <v>24</v>
      </c>
      <c r="E102" t="s">
        <v>25</v>
      </c>
      <c r="F102" t="s">
        <v>49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33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3">
        <f t="shared" si="4"/>
        <v>48.71</v>
      </c>
      <c r="S102" t="str">
        <f t="shared" si="5"/>
        <v>March</v>
      </c>
      <c r="T102">
        <f t="shared" si="6"/>
        <v>3</v>
      </c>
      <c r="U102" t="str">
        <f t="shared" si="7"/>
        <v>Tuesday</v>
      </c>
    </row>
    <row r="103" spans="1:21" x14ac:dyDescent="0.2">
      <c r="A103" t="s">
        <v>140</v>
      </c>
      <c r="B103" t="s">
        <v>29</v>
      </c>
      <c r="C103" t="s">
        <v>30</v>
      </c>
      <c r="D103" t="s">
        <v>24</v>
      </c>
      <c r="E103" t="s">
        <v>25</v>
      </c>
      <c r="F103" t="s">
        <v>49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33</v>
      </c>
      <c r="N103">
        <v>706.95</v>
      </c>
      <c r="O103">
        <v>4.7619047620000003</v>
      </c>
      <c r="P103">
        <v>35.347499999999997</v>
      </c>
      <c r="Q103">
        <v>7.2</v>
      </c>
      <c r="R103" s="3">
        <f t="shared" si="4"/>
        <v>706.94999999999993</v>
      </c>
      <c r="S103" t="str">
        <f t="shared" si="5"/>
        <v>January</v>
      </c>
      <c r="T103">
        <f t="shared" si="6"/>
        <v>1</v>
      </c>
      <c r="U103" t="str">
        <f t="shared" si="7"/>
        <v>Thursday</v>
      </c>
    </row>
    <row r="104" spans="1:21" x14ac:dyDescent="0.2">
      <c r="A104" t="s">
        <v>141</v>
      </c>
      <c r="B104" t="s">
        <v>29</v>
      </c>
      <c r="C104" t="s">
        <v>30</v>
      </c>
      <c r="D104" t="s">
        <v>24</v>
      </c>
      <c r="E104" t="s">
        <v>25</v>
      </c>
      <c r="F104" t="s">
        <v>32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33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3">
        <f t="shared" si="4"/>
        <v>207.63</v>
      </c>
      <c r="S104" t="str">
        <f t="shared" si="5"/>
        <v>January</v>
      </c>
      <c r="T104">
        <f t="shared" si="6"/>
        <v>1</v>
      </c>
      <c r="U104" t="str">
        <f t="shared" si="7"/>
        <v>Wednesday</v>
      </c>
    </row>
    <row r="105" spans="1:21" x14ac:dyDescent="0.2">
      <c r="A105" t="s">
        <v>142</v>
      </c>
      <c r="B105" t="s">
        <v>22</v>
      </c>
      <c r="C105" t="s">
        <v>23</v>
      </c>
      <c r="D105" t="s">
        <v>24</v>
      </c>
      <c r="E105" t="s">
        <v>25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33</v>
      </c>
      <c r="N105">
        <v>349.56</v>
      </c>
      <c r="O105">
        <v>4.7619047620000003</v>
      </c>
      <c r="P105">
        <v>17.478000000000002</v>
      </c>
      <c r="Q105">
        <v>9.9</v>
      </c>
      <c r="R105" s="3">
        <f t="shared" si="4"/>
        <v>349.56</v>
      </c>
      <c r="S105" t="str">
        <f t="shared" si="5"/>
        <v>March</v>
      </c>
      <c r="T105">
        <f t="shared" si="6"/>
        <v>3</v>
      </c>
      <c r="U105" t="str">
        <f t="shared" si="7"/>
        <v>Thursday</v>
      </c>
    </row>
    <row r="106" spans="1:21" x14ac:dyDescent="0.2">
      <c r="A106" t="s">
        <v>143</v>
      </c>
      <c r="B106" t="s">
        <v>45</v>
      </c>
      <c r="C106" t="s">
        <v>46</v>
      </c>
      <c r="D106" t="s">
        <v>24</v>
      </c>
      <c r="E106" t="s">
        <v>25</v>
      </c>
      <c r="F106" t="s">
        <v>26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33</v>
      </c>
      <c r="N106">
        <v>212.45</v>
      </c>
      <c r="O106">
        <v>4.7619047620000003</v>
      </c>
      <c r="P106">
        <v>10.6225</v>
      </c>
      <c r="Q106">
        <v>8</v>
      </c>
      <c r="R106" s="3">
        <f t="shared" si="4"/>
        <v>212.45000000000002</v>
      </c>
      <c r="S106" t="str">
        <f t="shared" si="5"/>
        <v>March</v>
      </c>
      <c r="T106">
        <f t="shared" si="6"/>
        <v>3</v>
      </c>
      <c r="U106" t="str">
        <f t="shared" si="7"/>
        <v>Tuesday</v>
      </c>
    </row>
    <row r="107" spans="1:21" x14ac:dyDescent="0.2">
      <c r="A107" t="s">
        <v>144</v>
      </c>
      <c r="B107" t="s">
        <v>22</v>
      </c>
      <c r="C107" t="s">
        <v>23</v>
      </c>
      <c r="D107" t="s">
        <v>24</v>
      </c>
      <c r="E107" t="s">
        <v>25</v>
      </c>
      <c r="F107" t="s">
        <v>32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27</v>
      </c>
      <c r="N107">
        <v>886.7</v>
      </c>
      <c r="O107">
        <v>4.7619047620000003</v>
      </c>
      <c r="P107">
        <v>44.335000000000001</v>
      </c>
      <c r="Q107">
        <v>7.3</v>
      </c>
      <c r="R107" s="3">
        <f t="shared" si="4"/>
        <v>886.7</v>
      </c>
      <c r="S107" t="str">
        <f t="shared" si="5"/>
        <v>December</v>
      </c>
      <c r="T107">
        <f t="shared" si="6"/>
        <v>12</v>
      </c>
      <c r="U107" t="str">
        <f t="shared" si="7"/>
        <v>Sunday</v>
      </c>
    </row>
    <row r="108" spans="1:21" x14ac:dyDescent="0.2">
      <c r="A108" t="s">
        <v>145</v>
      </c>
      <c r="B108" t="s">
        <v>29</v>
      </c>
      <c r="C108" t="s">
        <v>30</v>
      </c>
      <c r="D108" t="s">
        <v>24</v>
      </c>
      <c r="E108" t="s">
        <v>25</v>
      </c>
      <c r="F108" t="s">
        <v>49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  <c r="R108" s="3">
        <f t="shared" si="4"/>
        <v>164.28</v>
      </c>
      <c r="S108" t="str">
        <f t="shared" si="5"/>
        <v>May</v>
      </c>
      <c r="T108">
        <f t="shared" si="6"/>
        <v>5</v>
      </c>
      <c r="U108" t="str">
        <f t="shared" si="7"/>
        <v>Wednesday</v>
      </c>
    </row>
    <row r="109" spans="1:21" x14ac:dyDescent="0.2">
      <c r="A109" t="s">
        <v>146</v>
      </c>
      <c r="B109" t="s">
        <v>22</v>
      </c>
      <c r="C109" t="s">
        <v>23</v>
      </c>
      <c r="D109" t="s">
        <v>24</v>
      </c>
      <c r="E109" t="s">
        <v>25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33</v>
      </c>
      <c r="N109">
        <v>372.78</v>
      </c>
      <c r="O109">
        <v>4.7619047620000003</v>
      </c>
      <c r="P109">
        <v>18.638999999999999</v>
      </c>
      <c r="Q109">
        <v>7.4</v>
      </c>
      <c r="R109" s="3">
        <f t="shared" si="4"/>
        <v>372.78000000000003</v>
      </c>
      <c r="S109" t="str">
        <f t="shared" si="5"/>
        <v>March</v>
      </c>
      <c r="T109">
        <f t="shared" si="6"/>
        <v>3</v>
      </c>
      <c r="U109" t="str">
        <f t="shared" si="7"/>
        <v>Friday</v>
      </c>
    </row>
    <row r="110" spans="1:21" x14ac:dyDescent="0.2">
      <c r="A110" t="s">
        <v>147</v>
      </c>
      <c r="B110" t="s">
        <v>29</v>
      </c>
      <c r="C110" t="s">
        <v>30</v>
      </c>
      <c r="D110" t="s">
        <v>24</v>
      </c>
      <c r="E110" t="s">
        <v>25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33</v>
      </c>
      <c r="N110">
        <v>305.82</v>
      </c>
      <c r="O110">
        <v>4.7619047620000003</v>
      </c>
      <c r="P110">
        <v>15.291</v>
      </c>
      <c r="Q110">
        <v>4.2</v>
      </c>
      <c r="R110" s="3">
        <f t="shared" si="4"/>
        <v>305.82</v>
      </c>
      <c r="S110" t="str">
        <f t="shared" si="5"/>
        <v>March</v>
      </c>
      <c r="T110">
        <f t="shared" si="6"/>
        <v>3</v>
      </c>
      <c r="U110" t="str">
        <f t="shared" si="7"/>
        <v>Sunday</v>
      </c>
    </row>
    <row r="111" spans="1:21" x14ac:dyDescent="0.2">
      <c r="A111" t="s">
        <v>148</v>
      </c>
      <c r="B111" t="s">
        <v>29</v>
      </c>
      <c r="C111" t="s">
        <v>30</v>
      </c>
      <c r="D111" t="s">
        <v>24</v>
      </c>
      <c r="E111" t="s">
        <v>25</v>
      </c>
      <c r="F111" t="s">
        <v>32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33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3">
        <f t="shared" si="4"/>
        <v>819.7</v>
      </c>
      <c r="S111" t="str">
        <f t="shared" si="5"/>
        <v>March</v>
      </c>
      <c r="T111">
        <f t="shared" si="6"/>
        <v>3</v>
      </c>
      <c r="U111" t="str">
        <f t="shared" si="7"/>
        <v>Sunday</v>
      </c>
    </row>
    <row r="112" spans="1:21" x14ac:dyDescent="0.2">
      <c r="A112" t="s">
        <v>149</v>
      </c>
      <c r="B112" t="s">
        <v>45</v>
      </c>
      <c r="C112" t="s">
        <v>46</v>
      </c>
      <c r="D112" t="s">
        <v>24</v>
      </c>
      <c r="E112" t="s">
        <v>25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27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3">
        <f t="shared" si="4"/>
        <v>32.979999999999997</v>
      </c>
      <c r="S112" t="str">
        <f t="shared" si="5"/>
        <v>May</v>
      </c>
      <c r="T112">
        <f t="shared" si="6"/>
        <v>5</v>
      </c>
      <c r="U112" t="str">
        <f t="shared" si="7"/>
        <v>Thursday</v>
      </c>
    </row>
    <row r="113" spans="1:21" x14ac:dyDescent="0.2">
      <c r="A113" t="s">
        <v>150</v>
      </c>
      <c r="B113" t="s">
        <v>29</v>
      </c>
      <c r="C113" t="s">
        <v>30</v>
      </c>
      <c r="D113" t="s">
        <v>24</v>
      </c>
      <c r="E113" t="s">
        <v>25</v>
      </c>
      <c r="F113" t="s">
        <v>26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  <c r="R113" s="3">
        <f t="shared" si="4"/>
        <v>294.63</v>
      </c>
      <c r="S113" t="str">
        <f t="shared" si="5"/>
        <v>May</v>
      </c>
      <c r="T113">
        <f t="shared" si="6"/>
        <v>5</v>
      </c>
      <c r="U113" t="str">
        <f t="shared" si="7"/>
        <v>Thursday</v>
      </c>
    </row>
    <row r="114" spans="1:21" x14ac:dyDescent="0.2">
      <c r="A114" t="s">
        <v>151</v>
      </c>
      <c r="B114" t="s">
        <v>45</v>
      </c>
      <c r="C114" t="s">
        <v>46</v>
      </c>
      <c r="D114" t="s">
        <v>24</v>
      </c>
      <c r="E114" t="s">
        <v>25</v>
      </c>
      <c r="F114" t="s">
        <v>49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33</v>
      </c>
      <c r="N114">
        <v>509.88</v>
      </c>
      <c r="O114">
        <v>4.7619047620000003</v>
      </c>
      <c r="P114">
        <v>25.494</v>
      </c>
      <c r="Q114">
        <v>8.4</v>
      </c>
      <c r="R114" s="3">
        <f t="shared" si="4"/>
        <v>509.88</v>
      </c>
      <c r="S114" t="str">
        <f t="shared" si="5"/>
        <v>February</v>
      </c>
      <c r="T114">
        <f t="shared" si="6"/>
        <v>2</v>
      </c>
      <c r="U114" t="str">
        <f t="shared" si="7"/>
        <v>Friday</v>
      </c>
    </row>
    <row r="115" spans="1:21" x14ac:dyDescent="0.2">
      <c r="A115" t="s">
        <v>152</v>
      </c>
      <c r="B115" t="s">
        <v>22</v>
      </c>
      <c r="C115" t="s">
        <v>23</v>
      </c>
      <c r="D115" t="s">
        <v>24</v>
      </c>
      <c r="E115" t="s">
        <v>25</v>
      </c>
      <c r="F115" t="s">
        <v>35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27</v>
      </c>
      <c r="N115">
        <v>522.63</v>
      </c>
      <c r="O115">
        <v>4.7619047620000003</v>
      </c>
      <c r="P115">
        <v>26.131499999999999</v>
      </c>
      <c r="Q115">
        <v>4.3</v>
      </c>
      <c r="R115" s="3">
        <f t="shared" si="4"/>
        <v>522.63</v>
      </c>
      <c r="S115" t="str">
        <f t="shared" si="5"/>
        <v>January</v>
      </c>
      <c r="T115">
        <f t="shared" si="6"/>
        <v>1</v>
      </c>
      <c r="U115" t="str">
        <f t="shared" si="7"/>
        <v>Saturday</v>
      </c>
    </row>
    <row r="116" spans="1:21" x14ac:dyDescent="0.2">
      <c r="A116" t="s">
        <v>153</v>
      </c>
      <c r="B116" t="s">
        <v>29</v>
      </c>
      <c r="C116" t="s">
        <v>30</v>
      </c>
      <c r="D116" t="s">
        <v>24</v>
      </c>
      <c r="E116" t="s">
        <v>25</v>
      </c>
      <c r="F116" t="s">
        <v>35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  <c r="R116" s="3">
        <f t="shared" si="4"/>
        <v>727.11</v>
      </c>
      <c r="S116" t="str">
        <f t="shared" si="5"/>
        <v>January</v>
      </c>
      <c r="T116">
        <f t="shared" si="6"/>
        <v>1</v>
      </c>
      <c r="U116" t="str">
        <f t="shared" si="7"/>
        <v>Wednesday</v>
      </c>
    </row>
    <row r="117" spans="1:21" x14ac:dyDescent="0.2">
      <c r="A117" t="s">
        <v>154</v>
      </c>
      <c r="B117" t="s">
        <v>29</v>
      </c>
      <c r="C117" t="s">
        <v>30</v>
      </c>
      <c r="D117" t="s">
        <v>24</v>
      </c>
      <c r="E117" t="s">
        <v>25</v>
      </c>
      <c r="F117" t="s">
        <v>49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  <c r="R117" s="3">
        <f t="shared" si="4"/>
        <v>81.06</v>
      </c>
      <c r="S117" t="str">
        <f t="shared" si="5"/>
        <v>February</v>
      </c>
      <c r="T117">
        <f t="shared" si="6"/>
        <v>2</v>
      </c>
      <c r="U117" t="str">
        <f t="shared" si="7"/>
        <v>Sunday</v>
      </c>
    </row>
    <row r="118" spans="1:21" x14ac:dyDescent="0.2">
      <c r="A118" t="s">
        <v>155</v>
      </c>
      <c r="B118" t="s">
        <v>45</v>
      </c>
      <c r="C118" t="s">
        <v>46</v>
      </c>
      <c r="D118" t="s">
        <v>24</v>
      </c>
      <c r="E118" t="s">
        <v>25</v>
      </c>
      <c r="F118" t="s">
        <v>49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27</v>
      </c>
      <c r="N118">
        <v>109.7</v>
      </c>
      <c r="O118">
        <v>4.7619047620000003</v>
      </c>
      <c r="P118">
        <v>5.4850000000000003</v>
      </c>
      <c r="Q118">
        <v>5.3</v>
      </c>
      <c r="R118" s="3">
        <f t="shared" si="4"/>
        <v>109.7</v>
      </c>
      <c r="S118" t="str">
        <f t="shared" si="5"/>
        <v>May</v>
      </c>
      <c r="T118">
        <f t="shared" si="6"/>
        <v>5</v>
      </c>
      <c r="U118" t="str">
        <f t="shared" si="7"/>
        <v>Friday</v>
      </c>
    </row>
    <row r="119" spans="1:21" x14ac:dyDescent="0.2">
      <c r="A119" t="s">
        <v>156</v>
      </c>
      <c r="B119" t="s">
        <v>45</v>
      </c>
      <c r="C119" t="s">
        <v>46</v>
      </c>
      <c r="D119" t="s">
        <v>24</v>
      </c>
      <c r="E119" t="s">
        <v>25</v>
      </c>
      <c r="F119" t="s">
        <v>49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27</v>
      </c>
      <c r="N119">
        <v>51.36</v>
      </c>
      <c r="O119">
        <v>4.7619047620000003</v>
      </c>
      <c r="P119">
        <v>2.5680000000000001</v>
      </c>
      <c r="Q119">
        <v>5.2</v>
      </c>
      <c r="R119" s="3">
        <f t="shared" si="4"/>
        <v>51.36</v>
      </c>
      <c r="S119" t="str">
        <f t="shared" si="5"/>
        <v>January</v>
      </c>
      <c r="T119">
        <f t="shared" si="6"/>
        <v>1</v>
      </c>
      <c r="U119" t="str">
        <f t="shared" si="7"/>
        <v>Wednesday</v>
      </c>
    </row>
    <row r="120" spans="1:21" x14ac:dyDescent="0.2">
      <c r="A120" t="s">
        <v>157</v>
      </c>
      <c r="B120" t="s">
        <v>22</v>
      </c>
      <c r="C120" t="s">
        <v>23</v>
      </c>
      <c r="D120" t="s">
        <v>24</v>
      </c>
      <c r="E120" t="s">
        <v>25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27</v>
      </c>
      <c r="N120">
        <v>109.6</v>
      </c>
      <c r="O120">
        <v>4.7619047620000003</v>
      </c>
      <c r="P120">
        <v>5.48</v>
      </c>
      <c r="Q120">
        <v>6</v>
      </c>
      <c r="R120" s="3">
        <f t="shared" si="4"/>
        <v>109.60000000000001</v>
      </c>
      <c r="S120" t="str">
        <f t="shared" si="5"/>
        <v>February</v>
      </c>
      <c r="T120">
        <f t="shared" si="6"/>
        <v>2</v>
      </c>
      <c r="U120" t="str">
        <f t="shared" si="7"/>
        <v>Saturday</v>
      </c>
    </row>
    <row r="121" spans="1:21" x14ac:dyDescent="0.2">
      <c r="A121" t="s">
        <v>158</v>
      </c>
      <c r="B121" t="s">
        <v>45</v>
      </c>
      <c r="C121" t="s">
        <v>46</v>
      </c>
      <c r="D121" t="s">
        <v>24</v>
      </c>
      <c r="E121" t="s">
        <v>25</v>
      </c>
      <c r="F121" t="s">
        <v>35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27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3">
        <f t="shared" si="4"/>
        <v>106.88</v>
      </c>
      <c r="S121" t="str">
        <f t="shared" si="5"/>
        <v>January</v>
      </c>
      <c r="T121">
        <f t="shared" si="6"/>
        <v>1</v>
      </c>
      <c r="U121" t="str">
        <f t="shared" si="7"/>
        <v>Sunday</v>
      </c>
    </row>
    <row r="122" spans="1:21" x14ac:dyDescent="0.2">
      <c r="A122" t="s">
        <v>159</v>
      </c>
      <c r="B122" t="s">
        <v>22</v>
      </c>
      <c r="C122" t="s">
        <v>23</v>
      </c>
      <c r="D122" t="s">
        <v>24</v>
      </c>
      <c r="E122" t="s">
        <v>25</v>
      </c>
      <c r="F122" t="s">
        <v>32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  <c r="R122" s="3">
        <f t="shared" si="4"/>
        <v>796.48</v>
      </c>
      <c r="S122" t="str">
        <f t="shared" si="5"/>
        <v>February</v>
      </c>
      <c r="T122">
        <f t="shared" si="6"/>
        <v>2</v>
      </c>
      <c r="U122" t="str">
        <f t="shared" si="7"/>
        <v>Thursday</v>
      </c>
    </row>
    <row r="123" spans="1:21" x14ac:dyDescent="0.2">
      <c r="A123" t="s">
        <v>160</v>
      </c>
      <c r="B123" t="s">
        <v>29</v>
      </c>
      <c r="C123" t="s">
        <v>30</v>
      </c>
      <c r="D123" t="s">
        <v>24</v>
      </c>
      <c r="E123" t="s">
        <v>25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  <c r="R123" s="3">
        <f t="shared" si="4"/>
        <v>399.84</v>
      </c>
      <c r="S123" t="str">
        <f t="shared" si="5"/>
        <v>December</v>
      </c>
      <c r="T123">
        <f t="shared" si="6"/>
        <v>12</v>
      </c>
      <c r="U123" t="str">
        <f t="shared" si="7"/>
        <v>Sunday</v>
      </c>
    </row>
    <row r="124" spans="1:21" x14ac:dyDescent="0.2">
      <c r="A124" t="s">
        <v>161</v>
      </c>
      <c r="B124" t="s">
        <v>45</v>
      </c>
      <c r="C124" t="s">
        <v>46</v>
      </c>
      <c r="D124" t="s">
        <v>24</v>
      </c>
      <c r="E124" t="s">
        <v>25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  <c r="R124" s="3">
        <f t="shared" si="4"/>
        <v>899.64</v>
      </c>
      <c r="S124" t="str">
        <f t="shared" si="5"/>
        <v>September</v>
      </c>
      <c r="T124">
        <f t="shared" si="6"/>
        <v>9</v>
      </c>
      <c r="U124" t="str">
        <f t="shared" si="7"/>
        <v>Tuesday</v>
      </c>
    </row>
    <row r="125" spans="1:21" x14ac:dyDescent="0.2">
      <c r="A125" t="s">
        <v>162</v>
      </c>
      <c r="B125" t="s">
        <v>29</v>
      </c>
      <c r="C125" t="s">
        <v>30</v>
      </c>
      <c r="D125" t="s">
        <v>24</v>
      </c>
      <c r="E125" t="s">
        <v>25</v>
      </c>
      <c r="F125" t="s">
        <v>35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  <c r="R125" s="3">
        <f t="shared" si="4"/>
        <v>511.28</v>
      </c>
      <c r="S125" t="str">
        <f t="shared" si="5"/>
        <v>March</v>
      </c>
      <c r="T125">
        <f t="shared" si="6"/>
        <v>3</v>
      </c>
      <c r="U125" t="str">
        <f t="shared" si="7"/>
        <v>Wednesday</v>
      </c>
    </row>
    <row r="126" spans="1:21" x14ac:dyDescent="0.2">
      <c r="A126" t="s">
        <v>163</v>
      </c>
      <c r="B126" t="s">
        <v>45</v>
      </c>
      <c r="C126" t="s">
        <v>46</v>
      </c>
      <c r="D126" t="s">
        <v>24</v>
      </c>
      <c r="E126" t="s">
        <v>25</v>
      </c>
      <c r="F126" t="s">
        <v>49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27</v>
      </c>
      <c r="N126">
        <v>451.76</v>
      </c>
      <c r="O126">
        <v>4.7619047620000003</v>
      </c>
      <c r="P126">
        <v>22.588000000000001</v>
      </c>
      <c r="Q126">
        <v>7.3</v>
      </c>
      <c r="R126" s="3">
        <f t="shared" si="4"/>
        <v>451.76</v>
      </c>
      <c r="S126" t="str">
        <f t="shared" si="5"/>
        <v>September</v>
      </c>
      <c r="T126">
        <f t="shared" si="6"/>
        <v>9</v>
      </c>
      <c r="U126" t="str">
        <f t="shared" si="7"/>
        <v>Tuesday</v>
      </c>
    </row>
    <row r="127" spans="1:21" x14ac:dyDescent="0.2">
      <c r="A127" t="s">
        <v>164</v>
      </c>
      <c r="B127" t="s">
        <v>22</v>
      </c>
      <c r="C127" t="s">
        <v>23</v>
      </c>
      <c r="D127" t="s">
        <v>24</v>
      </c>
      <c r="E127" t="s">
        <v>25</v>
      </c>
      <c r="F127" t="s">
        <v>35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  <c r="R127" s="3">
        <f t="shared" si="4"/>
        <v>655.82999999999993</v>
      </c>
      <c r="S127" t="str">
        <f t="shared" si="5"/>
        <v>October</v>
      </c>
      <c r="T127">
        <f t="shared" si="6"/>
        <v>10</v>
      </c>
      <c r="U127" t="str">
        <f t="shared" si="7"/>
        <v>Thursday</v>
      </c>
    </row>
    <row r="128" spans="1:21" x14ac:dyDescent="0.2">
      <c r="A128" t="s">
        <v>165</v>
      </c>
      <c r="B128" t="s">
        <v>22</v>
      </c>
      <c r="C128" t="s">
        <v>23</v>
      </c>
      <c r="D128" t="s">
        <v>24</v>
      </c>
      <c r="E128" t="s">
        <v>25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33</v>
      </c>
      <c r="N128">
        <v>161.25</v>
      </c>
      <c r="O128">
        <v>4.7619047620000003</v>
      </c>
      <c r="P128">
        <v>8.0625</v>
      </c>
      <c r="Q128">
        <v>9</v>
      </c>
      <c r="R128" s="3">
        <f t="shared" si="4"/>
        <v>161.25</v>
      </c>
      <c r="S128" t="str">
        <f t="shared" si="5"/>
        <v>January</v>
      </c>
      <c r="T128">
        <f t="shared" si="6"/>
        <v>1</v>
      </c>
      <c r="U128" t="str">
        <f t="shared" si="7"/>
        <v>Sunday</v>
      </c>
    </row>
    <row r="129" spans="1:21" x14ac:dyDescent="0.2">
      <c r="A129" t="s">
        <v>166</v>
      </c>
      <c r="B129" t="s">
        <v>29</v>
      </c>
      <c r="C129" t="s">
        <v>30</v>
      </c>
      <c r="D129" t="s">
        <v>24</v>
      </c>
      <c r="E129" t="s">
        <v>25</v>
      </c>
      <c r="F129" t="s">
        <v>49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  <c r="R129" s="3">
        <f t="shared" si="4"/>
        <v>285.57</v>
      </c>
      <c r="S129" t="str">
        <f t="shared" si="5"/>
        <v>August</v>
      </c>
      <c r="T129">
        <f t="shared" si="6"/>
        <v>8</v>
      </c>
      <c r="U129" t="str">
        <f t="shared" si="7"/>
        <v>Thursday</v>
      </c>
    </row>
    <row r="130" spans="1:21" x14ac:dyDescent="0.2">
      <c r="A130" t="s">
        <v>167</v>
      </c>
      <c r="B130" t="s">
        <v>29</v>
      </c>
      <c r="C130" t="s">
        <v>30</v>
      </c>
      <c r="D130" t="s">
        <v>24</v>
      </c>
      <c r="E130" t="s">
        <v>25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27</v>
      </c>
      <c r="N130">
        <v>548.32000000000005</v>
      </c>
      <c r="O130">
        <v>4.7619047620000003</v>
      </c>
      <c r="P130">
        <v>27.416</v>
      </c>
      <c r="Q130">
        <v>8.5</v>
      </c>
      <c r="R130" s="3">
        <f t="shared" si="4"/>
        <v>548.32000000000005</v>
      </c>
      <c r="S130" t="str">
        <f t="shared" si="5"/>
        <v>August</v>
      </c>
      <c r="T130">
        <f t="shared" si="6"/>
        <v>8</v>
      </c>
      <c r="U130" t="str">
        <f t="shared" si="7"/>
        <v>Thursday</v>
      </c>
    </row>
    <row r="131" spans="1:21" x14ac:dyDescent="0.2">
      <c r="A131" t="s">
        <v>168</v>
      </c>
      <c r="B131" t="s">
        <v>45</v>
      </c>
      <c r="C131" t="s">
        <v>46</v>
      </c>
      <c r="D131" t="s">
        <v>24</v>
      </c>
      <c r="E131" t="s">
        <v>25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27</v>
      </c>
      <c r="N131">
        <v>812.52</v>
      </c>
      <c r="O131">
        <v>4.7619047620000003</v>
      </c>
      <c r="P131">
        <v>40.625999999999998</v>
      </c>
      <c r="Q131">
        <v>7.2</v>
      </c>
      <c r="R131" s="3">
        <f t="shared" ref="R131:R194" si="8">H131*G131</f>
        <v>812.52</v>
      </c>
      <c r="S131" t="str">
        <f t="shared" ref="S131:S194" si="9">TEXT(K131,"mmmm")</f>
        <v>August</v>
      </c>
      <c r="T131">
        <f t="shared" ref="T131:T194" si="10">MONTH(K131)</f>
        <v>8</v>
      </c>
      <c r="U131" t="str">
        <f t="shared" ref="U131:U194" si="11">TEXT(K131,"dddd")</f>
        <v>Friday</v>
      </c>
    </row>
    <row r="132" spans="1:21" x14ac:dyDescent="0.2">
      <c r="A132" t="s">
        <v>169</v>
      </c>
      <c r="B132" t="s">
        <v>45</v>
      </c>
      <c r="C132" t="s">
        <v>46</v>
      </c>
      <c r="D132" t="s">
        <v>31</v>
      </c>
      <c r="E132" t="s">
        <v>25</v>
      </c>
      <c r="F132" t="s">
        <v>49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33</v>
      </c>
      <c r="N132">
        <v>277.33999999999997</v>
      </c>
      <c r="O132">
        <v>4.7619047620000003</v>
      </c>
      <c r="P132">
        <v>13.867000000000001</v>
      </c>
      <c r="Q132">
        <v>7.5</v>
      </c>
      <c r="R132" s="3">
        <f t="shared" si="8"/>
        <v>277.33999999999997</v>
      </c>
      <c r="S132" t="str">
        <f t="shared" si="9"/>
        <v>January</v>
      </c>
      <c r="T132">
        <f t="shared" si="10"/>
        <v>1</v>
      </c>
      <c r="U132" t="str">
        <f t="shared" si="11"/>
        <v>Friday</v>
      </c>
    </row>
    <row r="133" spans="1:21" x14ac:dyDescent="0.2">
      <c r="A133" t="s">
        <v>170</v>
      </c>
      <c r="B133" t="s">
        <v>22</v>
      </c>
      <c r="C133" t="s">
        <v>23</v>
      </c>
      <c r="D133" t="s">
        <v>24</v>
      </c>
      <c r="E133" t="s">
        <v>25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33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3">
        <f t="shared" si="8"/>
        <v>552.78</v>
      </c>
      <c r="S133" t="str">
        <f t="shared" si="9"/>
        <v>June</v>
      </c>
      <c r="T133">
        <f t="shared" si="10"/>
        <v>6</v>
      </c>
      <c r="U133" t="str">
        <f t="shared" si="11"/>
        <v>Monday</v>
      </c>
    </row>
    <row r="134" spans="1:21" x14ac:dyDescent="0.2">
      <c r="A134" t="s">
        <v>171</v>
      </c>
      <c r="B134" t="s">
        <v>45</v>
      </c>
      <c r="C134" t="s">
        <v>46</v>
      </c>
      <c r="D134" t="s">
        <v>31</v>
      </c>
      <c r="E134" t="s">
        <v>25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33</v>
      </c>
      <c r="N134">
        <v>139.36000000000001</v>
      </c>
      <c r="O134">
        <v>4.7619047620000003</v>
      </c>
      <c r="P134">
        <v>6.968</v>
      </c>
      <c r="Q134">
        <v>7.4</v>
      </c>
      <c r="R134" s="3">
        <f t="shared" si="8"/>
        <v>139.36000000000001</v>
      </c>
      <c r="S134" t="str">
        <f t="shared" si="9"/>
        <v>October</v>
      </c>
      <c r="T134">
        <f t="shared" si="10"/>
        <v>10</v>
      </c>
      <c r="U134" t="str">
        <f t="shared" si="11"/>
        <v>Wednesday</v>
      </c>
    </row>
    <row r="135" spans="1:21" x14ac:dyDescent="0.2">
      <c r="A135" t="s">
        <v>172</v>
      </c>
      <c r="B135" t="s">
        <v>45</v>
      </c>
      <c r="C135" t="s">
        <v>46</v>
      </c>
      <c r="D135" t="s">
        <v>24</v>
      </c>
      <c r="E135" t="s">
        <v>25</v>
      </c>
      <c r="F135" t="s">
        <v>32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3">
        <f t="shared" si="8"/>
        <v>524.70000000000005</v>
      </c>
      <c r="S135" t="str">
        <f t="shared" si="9"/>
        <v>February</v>
      </c>
      <c r="T135">
        <f t="shared" si="10"/>
        <v>2</v>
      </c>
      <c r="U135" t="str">
        <f t="shared" si="11"/>
        <v>Sunday</v>
      </c>
    </row>
    <row r="136" spans="1:21" x14ac:dyDescent="0.2">
      <c r="A136" t="s">
        <v>173</v>
      </c>
      <c r="B136" t="s">
        <v>29</v>
      </c>
      <c r="C136" t="s">
        <v>30</v>
      </c>
      <c r="D136" t="s">
        <v>31</v>
      </c>
      <c r="E136" t="s">
        <v>25</v>
      </c>
      <c r="F136" t="s">
        <v>26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27</v>
      </c>
      <c r="N136">
        <v>487.8</v>
      </c>
      <c r="O136">
        <v>4.7619047620000003</v>
      </c>
      <c r="P136">
        <v>24.39</v>
      </c>
      <c r="Q136">
        <v>5.3</v>
      </c>
      <c r="R136" s="3">
        <f t="shared" si="8"/>
        <v>487.79999999999995</v>
      </c>
      <c r="S136" t="str">
        <f t="shared" si="9"/>
        <v>August</v>
      </c>
      <c r="T136">
        <f t="shared" si="10"/>
        <v>8</v>
      </c>
      <c r="U136" t="str">
        <f t="shared" si="11"/>
        <v>Saturday</v>
      </c>
    </row>
    <row r="137" spans="1:21" x14ac:dyDescent="0.2">
      <c r="A137" t="s">
        <v>174</v>
      </c>
      <c r="B137" t="s">
        <v>29</v>
      </c>
      <c r="C137" t="s">
        <v>30</v>
      </c>
      <c r="D137" t="s">
        <v>31</v>
      </c>
      <c r="E137" t="s">
        <v>25</v>
      </c>
      <c r="F137" t="s">
        <v>49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33</v>
      </c>
      <c r="N137">
        <v>270.66000000000003</v>
      </c>
      <c r="O137">
        <v>4.7619047620000003</v>
      </c>
      <c r="P137">
        <v>13.532999999999999</v>
      </c>
      <c r="Q137">
        <v>6.2</v>
      </c>
      <c r="R137" s="3">
        <f t="shared" si="8"/>
        <v>270.65999999999997</v>
      </c>
      <c r="S137" t="str">
        <f t="shared" si="9"/>
        <v>February</v>
      </c>
      <c r="T137">
        <f t="shared" si="10"/>
        <v>2</v>
      </c>
      <c r="U137" t="str">
        <f t="shared" si="11"/>
        <v>Monday</v>
      </c>
    </row>
    <row r="138" spans="1:21" x14ac:dyDescent="0.2">
      <c r="A138" t="s">
        <v>175</v>
      </c>
      <c r="B138" t="s">
        <v>22</v>
      </c>
      <c r="C138" t="s">
        <v>23</v>
      </c>
      <c r="D138" t="s">
        <v>31</v>
      </c>
      <c r="E138" t="s">
        <v>25</v>
      </c>
      <c r="F138" t="s">
        <v>32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3">
        <f t="shared" si="8"/>
        <v>131.54999999999998</v>
      </c>
      <c r="S138" t="str">
        <f t="shared" si="9"/>
        <v>January</v>
      </c>
      <c r="T138">
        <f t="shared" si="10"/>
        <v>1</v>
      </c>
      <c r="U138" t="str">
        <f t="shared" si="11"/>
        <v>Friday</v>
      </c>
    </row>
    <row r="139" spans="1:21" x14ac:dyDescent="0.2">
      <c r="A139" t="s">
        <v>176</v>
      </c>
      <c r="B139" t="s">
        <v>22</v>
      </c>
      <c r="C139" t="s">
        <v>23</v>
      </c>
      <c r="D139" t="s">
        <v>24</v>
      </c>
      <c r="E139" t="s">
        <v>25</v>
      </c>
      <c r="F139" t="s">
        <v>35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33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3">
        <f t="shared" si="8"/>
        <v>206.52</v>
      </c>
      <c r="S139" t="str">
        <f t="shared" si="9"/>
        <v>February</v>
      </c>
      <c r="T139">
        <f t="shared" si="10"/>
        <v>2</v>
      </c>
      <c r="U139" t="str">
        <f t="shared" si="11"/>
        <v>Monday</v>
      </c>
    </row>
    <row r="140" spans="1:21" x14ac:dyDescent="0.2">
      <c r="A140" t="s">
        <v>177</v>
      </c>
      <c r="B140" t="s">
        <v>45</v>
      </c>
      <c r="C140" t="s">
        <v>46</v>
      </c>
      <c r="D140" t="s">
        <v>31</v>
      </c>
      <c r="E140" t="s">
        <v>25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33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3">
        <f t="shared" si="8"/>
        <v>519.09999999999991</v>
      </c>
      <c r="S140" t="str">
        <f t="shared" si="9"/>
        <v>February</v>
      </c>
      <c r="T140">
        <f t="shared" si="10"/>
        <v>2</v>
      </c>
      <c r="U140" t="str">
        <f t="shared" si="11"/>
        <v>Saturday</v>
      </c>
    </row>
    <row r="141" spans="1:21" x14ac:dyDescent="0.2">
      <c r="A141" t="s">
        <v>178</v>
      </c>
      <c r="B141" t="s">
        <v>22</v>
      </c>
      <c r="C141" t="s">
        <v>23</v>
      </c>
      <c r="D141" t="s">
        <v>31</v>
      </c>
      <c r="E141" t="s">
        <v>25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27</v>
      </c>
      <c r="N141">
        <v>580</v>
      </c>
      <c r="O141">
        <v>4.7619047620000003</v>
      </c>
      <c r="P141">
        <v>29</v>
      </c>
      <c r="Q141">
        <v>9.1999999999999993</v>
      </c>
      <c r="R141" s="3">
        <f t="shared" si="8"/>
        <v>580</v>
      </c>
      <c r="S141" t="str">
        <f t="shared" si="9"/>
        <v>March</v>
      </c>
      <c r="T141">
        <f t="shared" si="10"/>
        <v>3</v>
      </c>
      <c r="U141" t="str">
        <f t="shared" si="11"/>
        <v>Saturday</v>
      </c>
    </row>
    <row r="142" spans="1:21" x14ac:dyDescent="0.2">
      <c r="A142" t="s">
        <v>179</v>
      </c>
      <c r="B142" t="s">
        <v>29</v>
      </c>
      <c r="C142" t="s">
        <v>30</v>
      </c>
      <c r="D142" t="s">
        <v>24</v>
      </c>
      <c r="E142" t="s">
        <v>25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  <c r="R142" s="3">
        <f t="shared" si="8"/>
        <v>898</v>
      </c>
      <c r="S142" t="str">
        <f t="shared" si="9"/>
        <v>January</v>
      </c>
      <c r="T142">
        <f t="shared" si="10"/>
        <v>1</v>
      </c>
      <c r="U142" t="str">
        <f t="shared" si="11"/>
        <v>Wednesday</v>
      </c>
    </row>
    <row r="143" spans="1:21" x14ac:dyDescent="0.2">
      <c r="A143" t="s">
        <v>180</v>
      </c>
      <c r="B143" t="s">
        <v>29</v>
      </c>
      <c r="C143" t="s">
        <v>30</v>
      </c>
      <c r="D143" t="s">
        <v>24</v>
      </c>
      <c r="E143" t="s">
        <v>181</v>
      </c>
      <c r="F143" t="s">
        <v>26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33</v>
      </c>
      <c r="N143">
        <v>905</v>
      </c>
      <c r="O143">
        <v>4.7619047620000003</v>
      </c>
      <c r="P143">
        <v>45.25</v>
      </c>
      <c r="Q143">
        <v>8.1</v>
      </c>
      <c r="R143" s="3">
        <f t="shared" si="8"/>
        <v>905</v>
      </c>
      <c r="S143" t="str">
        <f t="shared" si="9"/>
        <v>January</v>
      </c>
      <c r="T143">
        <f t="shared" si="10"/>
        <v>1</v>
      </c>
      <c r="U143" t="str">
        <f t="shared" si="11"/>
        <v>Friday</v>
      </c>
    </row>
    <row r="144" spans="1:21" x14ac:dyDescent="0.2">
      <c r="A144" t="s">
        <v>182</v>
      </c>
      <c r="B144" t="s">
        <v>29</v>
      </c>
      <c r="C144" t="s">
        <v>30</v>
      </c>
      <c r="D144" t="s">
        <v>24</v>
      </c>
      <c r="E144" t="s">
        <v>25</v>
      </c>
      <c r="F144" t="s">
        <v>26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33</v>
      </c>
      <c r="N144">
        <v>686</v>
      </c>
      <c r="O144">
        <v>4.7619047620000003</v>
      </c>
      <c r="P144">
        <v>34.299999999999997</v>
      </c>
      <c r="Q144">
        <v>9.1</v>
      </c>
      <c r="R144" s="3">
        <f t="shared" si="8"/>
        <v>686</v>
      </c>
      <c r="S144" t="str">
        <f t="shared" si="9"/>
        <v>May</v>
      </c>
      <c r="T144">
        <f t="shared" si="10"/>
        <v>5</v>
      </c>
      <c r="U144" t="str">
        <f t="shared" si="11"/>
        <v>Thursday</v>
      </c>
    </row>
    <row r="145" spans="1:21" x14ac:dyDescent="0.2">
      <c r="A145" t="s">
        <v>183</v>
      </c>
      <c r="B145" t="s">
        <v>29</v>
      </c>
      <c r="C145" t="s">
        <v>30</v>
      </c>
      <c r="D145" t="s">
        <v>24</v>
      </c>
      <c r="E145" t="s">
        <v>25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  <c r="R145" s="3">
        <f t="shared" si="8"/>
        <v>30.41</v>
      </c>
      <c r="S145" t="str">
        <f t="shared" si="9"/>
        <v>February</v>
      </c>
      <c r="T145">
        <f t="shared" si="10"/>
        <v>2</v>
      </c>
      <c r="U145" t="str">
        <f t="shared" si="11"/>
        <v>Friday</v>
      </c>
    </row>
    <row r="146" spans="1:21" x14ac:dyDescent="0.2">
      <c r="A146" t="s">
        <v>184</v>
      </c>
      <c r="B146" t="s">
        <v>22</v>
      </c>
      <c r="C146" t="s">
        <v>23</v>
      </c>
      <c r="D146" t="s">
        <v>31</v>
      </c>
      <c r="E146" t="s">
        <v>25</v>
      </c>
      <c r="F146" t="s">
        <v>35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27</v>
      </c>
      <c r="N146">
        <v>467.7</v>
      </c>
      <c r="O146">
        <v>4.7619047620000003</v>
      </c>
      <c r="P146">
        <v>23.385000000000002</v>
      </c>
      <c r="Q146">
        <v>8</v>
      </c>
      <c r="R146" s="3">
        <f t="shared" si="8"/>
        <v>467.70000000000005</v>
      </c>
      <c r="S146" t="str">
        <f t="shared" si="9"/>
        <v>January</v>
      </c>
      <c r="T146">
        <f t="shared" si="10"/>
        <v>1</v>
      </c>
      <c r="U146" t="str">
        <f t="shared" si="11"/>
        <v>Monday</v>
      </c>
    </row>
    <row r="147" spans="1:21" x14ac:dyDescent="0.2">
      <c r="A147" t="s">
        <v>185</v>
      </c>
      <c r="B147" t="s">
        <v>29</v>
      </c>
      <c r="C147" t="s">
        <v>30</v>
      </c>
      <c r="D147" t="s">
        <v>31</v>
      </c>
      <c r="E147" t="s">
        <v>25</v>
      </c>
      <c r="F147" t="s">
        <v>26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  <c r="R147" s="3">
        <f t="shared" si="8"/>
        <v>277.56</v>
      </c>
      <c r="S147" t="str">
        <f t="shared" si="9"/>
        <v>August</v>
      </c>
      <c r="T147">
        <f t="shared" si="10"/>
        <v>8</v>
      </c>
      <c r="U147" t="str">
        <f t="shared" si="11"/>
        <v>Saturday</v>
      </c>
    </row>
    <row r="148" spans="1:21" x14ac:dyDescent="0.2">
      <c r="A148" t="s">
        <v>186</v>
      </c>
      <c r="B148" t="s">
        <v>22</v>
      </c>
      <c r="C148" t="s">
        <v>23</v>
      </c>
      <c r="D148" t="s">
        <v>24</v>
      </c>
      <c r="E148" t="s">
        <v>25</v>
      </c>
      <c r="F148" t="s">
        <v>49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27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3">
        <f t="shared" si="8"/>
        <v>301.39999999999998</v>
      </c>
      <c r="S148" t="str">
        <f t="shared" si="9"/>
        <v>October</v>
      </c>
      <c r="T148">
        <f t="shared" si="10"/>
        <v>10</v>
      </c>
      <c r="U148" t="str">
        <f t="shared" si="11"/>
        <v>Wednesday</v>
      </c>
    </row>
    <row r="149" spans="1:21" x14ac:dyDescent="0.2">
      <c r="A149" t="s">
        <v>187</v>
      </c>
      <c r="B149" t="s">
        <v>29</v>
      </c>
      <c r="C149" t="s">
        <v>30</v>
      </c>
      <c r="D149" t="s">
        <v>31</v>
      </c>
      <c r="E149" t="s">
        <v>181</v>
      </c>
      <c r="F149" t="s">
        <v>26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  <c r="R149" s="3">
        <f t="shared" si="8"/>
        <v>264.56</v>
      </c>
      <c r="S149" t="str">
        <f t="shared" si="9"/>
        <v>March</v>
      </c>
      <c r="T149">
        <f t="shared" si="10"/>
        <v>3</v>
      </c>
      <c r="U149" t="str">
        <f t="shared" si="11"/>
        <v>Tuesday</v>
      </c>
    </row>
    <row r="150" spans="1:21" x14ac:dyDescent="0.2">
      <c r="A150" t="s">
        <v>188</v>
      </c>
      <c r="B150" t="s">
        <v>45</v>
      </c>
      <c r="C150" t="s">
        <v>46</v>
      </c>
      <c r="D150" t="s">
        <v>24</v>
      </c>
      <c r="E150" t="s">
        <v>181</v>
      </c>
      <c r="F150" t="s">
        <v>35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  <c r="R150" s="3">
        <f t="shared" si="8"/>
        <v>574.88</v>
      </c>
      <c r="S150" t="str">
        <f t="shared" si="9"/>
        <v>June</v>
      </c>
      <c r="T150">
        <f t="shared" si="10"/>
        <v>6</v>
      </c>
      <c r="U150" t="str">
        <f t="shared" si="11"/>
        <v>Monday</v>
      </c>
    </row>
    <row r="151" spans="1:21" x14ac:dyDescent="0.2">
      <c r="A151" t="s">
        <v>189</v>
      </c>
      <c r="B151" t="s">
        <v>22</v>
      </c>
      <c r="C151" t="s">
        <v>23</v>
      </c>
      <c r="D151" t="s">
        <v>31</v>
      </c>
      <c r="E151" t="s">
        <v>181</v>
      </c>
      <c r="F151" t="s">
        <v>26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  <c r="R151" s="3">
        <f t="shared" si="8"/>
        <v>259.68</v>
      </c>
      <c r="S151" t="str">
        <f t="shared" si="9"/>
        <v>March</v>
      </c>
      <c r="T151">
        <f t="shared" si="10"/>
        <v>3</v>
      </c>
      <c r="U151" t="str">
        <f t="shared" si="11"/>
        <v>Wednesday</v>
      </c>
    </row>
    <row r="152" spans="1:21" x14ac:dyDescent="0.2">
      <c r="A152" t="s">
        <v>190</v>
      </c>
      <c r="B152" t="s">
        <v>45</v>
      </c>
      <c r="C152" t="s">
        <v>46</v>
      </c>
      <c r="D152" t="s">
        <v>24</v>
      </c>
      <c r="E152" t="s">
        <v>25</v>
      </c>
      <c r="F152" t="s">
        <v>49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  <c r="R152" s="3">
        <f t="shared" si="8"/>
        <v>366.16</v>
      </c>
      <c r="S152" t="str">
        <f t="shared" si="9"/>
        <v>March</v>
      </c>
      <c r="T152">
        <f t="shared" si="10"/>
        <v>3</v>
      </c>
      <c r="U152" t="str">
        <f t="shared" si="11"/>
        <v>Saturday</v>
      </c>
    </row>
    <row r="153" spans="1:21" x14ac:dyDescent="0.2">
      <c r="A153" t="s">
        <v>191</v>
      </c>
      <c r="B153" t="s">
        <v>29</v>
      </c>
      <c r="C153" t="s">
        <v>30</v>
      </c>
      <c r="D153" t="s">
        <v>24</v>
      </c>
      <c r="E153" t="s">
        <v>181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  <c r="R153" s="3">
        <f t="shared" si="8"/>
        <v>241.92000000000002</v>
      </c>
      <c r="S153" t="str">
        <f t="shared" si="9"/>
        <v>November</v>
      </c>
      <c r="T153">
        <f t="shared" si="10"/>
        <v>11</v>
      </c>
      <c r="U153" t="str">
        <f t="shared" si="11"/>
        <v>Sunday</v>
      </c>
    </row>
    <row r="154" spans="1:21" x14ac:dyDescent="0.2">
      <c r="A154" t="s">
        <v>192</v>
      </c>
      <c r="B154" t="s">
        <v>22</v>
      </c>
      <c r="C154" t="s">
        <v>23</v>
      </c>
      <c r="D154" t="s">
        <v>31</v>
      </c>
      <c r="E154" t="s">
        <v>181</v>
      </c>
      <c r="F154" t="s">
        <v>49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  <c r="R154" s="3">
        <f t="shared" si="8"/>
        <v>749.16</v>
      </c>
      <c r="S154" t="str">
        <f t="shared" si="9"/>
        <v>January</v>
      </c>
      <c r="T154">
        <f t="shared" si="10"/>
        <v>1</v>
      </c>
      <c r="U154" t="str">
        <f t="shared" si="11"/>
        <v>Tuesday</v>
      </c>
    </row>
    <row r="155" spans="1:21" x14ac:dyDescent="0.2">
      <c r="A155" t="s">
        <v>193</v>
      </c>
      <c r="B155" t="s">
        <v>29</v>
      </c>
      <c r="C155" t="s">
        <v>30</v>
      </c>
      <c r="D155" t="s">
        <v>31</v>
      </c>
      <c r="E155" t="s">
        <v>25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27</v>
      </c>
      <c r="N155">
        <v>98.88</v>
      </c>
      <c r="O155">
        <v>4.7619047620000003</v>
      </c>
      <c r="P155">
        <v>4.944</v>
      </c>
      <c r="Q155">
        <v>9.9</v>
      </c>
      <c r="R155" s="3">
        <f t="shared" si="8"/>
        <v>98.88</v>
      </c>
      <c r="S155" t="str">
        <f t="shared" si="9"/>
        <v>July</v>
      </c>
      <c r="T155">
        <f t="shared" si="10"/>
        <v>7</v>
      </c>
      <c r="U155" t="str">
        <f t="shared" si="11"/>
        <v>Tuesday</v>
      </c>
    </row>
    <row r="156" spans="1:21" x14ac:dyDescent="0.2">
      <c r="A156" t="s">
        <v>194</v>
      </c>
      <c r="B156" t="s">
        <v>29</v>
      </c>
      <c r="C156" t="s">
        <v>30</v>
      </c>
      <c r="D156" t="s">
        <v>31</v>
      </c>
      <c r="E156" t="s">
        <v>25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33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3">
        <f t="shared" si="8"/>
        <v>647.76</v>
      </c>
      <c r="S156" t="str">
        <f t="shared" si="9"/>
        <v>January</v>
      </c>
      <c r="T156">
        <f t="shared" si="10"/>
        <v>1</v>
      </c>
      <c r="U156" t="str">
        <f t="shared" si="11"/>
        <v>Monday</v>
      </c>
    </row>
    <row r="157" spans="1:21" x14ac:dyDescent="0.2">
      <c r="A157" t="s">
        <v>195</v>
      </c>
      <c r="B157" t="s">
        <v>22</v>
      </c>
      <c r="C157" t="s">
        <v>23</v>
      </c>
      <c r="D157" t="s">
        <v>24</v>
      </c>
      <c r="E157" t="s">
        <v>181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  <c r="R157" s="3">
        <f t="shared" si="8"/>
        <v>461.45000000000005</v>
      </c>
      <c r="S157" t="str">
        <f t="shared" si="9"/>
        <v>February</v>
      </c>
      <c r="T157">
        <f t="shared" si="10"/>
        <v>2</v>
      </c>
      <c r="U157" t="str">
        <f t="shared" si="11"/>
        <v>Wednesday</v>
      </c>
    </row>
    <row r="158" spans="1:21" x14ac:dyDescent="0.2">
      <c r="A158" t="s">
        <v>196</v>
      </c>
      <c r="B158" t="s">
        <v>45</v>
      </c>
      <c r="C158" t="s">
        <v>46</v>
      </c>
      <c r="D158" t="s">
        <v>24</v>
      </c>
      <c r="E158" t="s">
        <v>181</v>
      </c>
      <c r="F158" t="s">
        <v>32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33</v>
      </c>
      <c r="N158">
        <v>72.17</v>
      </c>
      <c r="O158">
        <v>4.7619047620000003</v>
      </c>
      <c r="P158">
        <v>3.6084999999999998</v>
      </c>
      <c r="Q158">
        <v>6.1</v>
      </c>
      <c r="R158" s="3">
        <f t="shared" si="8"/>
        <v>72.17</v>
      </c>
      <c r="S158" t="str">
        <f t="shared" si="9"/>
        <v>April</v>
      </c>
      <c r="T158">
        <f t="shared" si="10"/>
        <v>4</v>
      </c>
      <c r="U158" t="str">
        <f t="shared" si="11"/>
        <v>Monday</v>
      </c>
    </row>
    <row r="159" spans="1:21" x14ac:dyDescent="0.2">
      <c r="A159" t="s">
        <v>197</v>
      </c>
      <c r="B159" t="s">
        <v>45</v>
      </c>
      <c r="C159" t="s">
        <v>46</v>
      </c>
      <c r="D159" t="s">
        <v>31</v>
      </c>
      <c r="E159" t="s">
        <v>181</v>
      </c>
      <c r="F159" t="s">
        <v>35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27</v>
      </c>
      <c r="N159">
        <v>251.4</v>
      </c>
      <c r="O159">
        <v>4.7619047620000003</v>
      </c>
      <c r="P159">
        <v>12.57</v>
      </c>
      <c r="Q159">
        <v>9.6999999999999993</v>
      </c>
      <c r="R159" s="3">
        <f t="shared" si="8"/>
        <v>251.4</v>
      </c>
      <c r="S159" t="str">
        <f t="shared" si="9"/>
        <v>July</v>
      </c>
      <c r="T159">
        <f t="shared" si="10"/>
        <v>7</v>
      </c>
      <c r="U159" t="str">
        <f t="shared" si="11"/>
        <v>Wednesday</v>
      </c>
    </row>
    <row r="160" spans="1:21" x14ac:dyDescent="0.2">
      <c r="A160" t="s">
        <v>198</v>
      </c>
      <c r="B160" t="s">
        <v>45</v>
      </c>
      <c r="C160" t="s">
        <v>46</v>
      </c>
      <c r="D160" t="s">
        <v>24</v>
      </c>
      <c r="E160" t="s">
        <v>181</v>
      </c>
      <c r="F160" t="s">
        <v>26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27</v>
      </c>
      <c r="N160">
        <v>874.98</v>
      </c>
      <c r="O160">
        <v>4.7619047620000003</v>
      </c>
      <c r="P160">
        <v>43.749000000000002</v>
      </c>
      <c r="Q160">
        <v>6</v>
      </c>
      <c r="R160" s="3">
        <f t="shared" si="8"/>
        <v>874.98</v>
      </c>
      <c r="S160" t="str">
        <f t="shared" si="9"/>
        <v>March</v>
      </c>
      <c r="T160">
        <f t="shared" si="10"/>
        <v>3</v>
      </c>
      <c r="U160" t="str">
        <f t="shared" si="11"/>
        <v>Saturday</v>
      </c>
    </row>
    <row r="161" spans="1:21" x14ac:dyDescent="0.2">
      <c r="A161" t="s">
        <v>199</v>
      </c>
      <c r="B161" t="s">
        <v>45</v>
      </c>
      <c r="C161" t="s">
        <v>46</v>
      </c>
      <c r="D161" t="s">
        <v>31</v>
      </c>
      <c r="E161" t="s">
        <v>181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27</v>
      </c>
      <c r="N161">
        <v>560.34</v>
      </c>
      <c r="O161">
        <v>4.7619047620000003</v>
      </c>
      <c r="P161">
        <v>28.016999999999999</v>
      </c>
      <c r="Q161">
        <v>10</v>
      </c>
      <c r="R161" s="3">
        <f t="shared" si="8"/>
        <v>560.34</v>
      </c>
      <c r="S161" t="str">
        <f t="shared" si="9"/>
        <v>March</v>
      </c>
      <c r="T161">
        <f t="shared" si="10"/>
        <v>3</v>
      </c>
      <c r="U161" t="str">
        <f t="shared" si="11"/>
        <v>Wednesday</v>
      </c>
    </row>
    <row r="162" spans="1:21" x14ac:dyDescent="0.2">
      <c r="A162" t="s">
        <v>200</v>
      </c>
      <c r="B162" t="s">
        <v>29</v>
      </c>
      <c r="C162" t="s">
        <v>30</v>
      </c>
      <c r="D162" t="s">
        <v>31</v>
      </c>
      <c r="E162" t="s">
        <v>25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3">
        <f t="shared" si="8"/>
        <v>345.44</v>
      </c>
      <c r="S162" t="str">
        <f t="shared" si="9"/>
        <v>January</v>
      </c>
      <c r="T162">
        <f t="shared" si="10"/>
        <v>1</v>
      </c>
      <c r="U162" t="str">
        <f t="shared" si="11"/>
        <v>Saturday</v>
      </c>
    </row>
    <row r="163" spans="1:21" x14ac:dyDescent="0.2">
      <c r="A163" t="s">
        <v>201</v>
      </c>
      <c r="B163" t="s">
        <v>22</v>
      </c>
      <c r="C163" t="s">
        <v>23</v>
      </c>
      <c r="D163" t="s">
        <v>31</v>
      </c>
      <c r="E163" t="s">
        <v>181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33</v>
      </c>
      <c r="N163">
        <v>63.69</v>
      </c>
      <c r="O163">
        <v>4.7619047620000003</v>
      </c>
      <c r="P163">
        <v>3.1844999999999999</v>
      </c>
      <c r="Q163">
        <v>6</v>
      </c>
      <c r="R163" s="3">
        <f t="shared" si="8"/>
        <v>63.69</v>
      </c>
      <c r="S163" t="str">
        <f t="shared" si="9"/>
        <v>February</v>
      </c>
      <c r="T163">
        <f t="shared" si="10"/>
        <v>2</v>
      </c>
      <c r="U163" t="str">
        <f t="shared" si="11"/>
        <v>Monday</v>
      </c>
    </row>
    <row r="164" spans="1:21" x14ac:dyDescent="0.2">
      <c r="A164" t="s">
        <v>202</v>
      </c>
      <c r="B164" t="s">
        <v>22</v>
      </c>
      <c r="C164" t="s">
        <v>23</v>
      </c>
      <c r="D164" t="s">
        <v>31</v>
      </c>
      <c r="E164" t="s">
        <v>181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  <c r="R164" s="3">
        <f t="shared" si="8"/>
        <v>320.52999999999997</v>
      </c>
      <c r="S164" t="str">
        <f t="shared" si="9"/>
        <v>March</v>
      </c>
      <c r="T164">
        <f t="shared" si="10"/>
        <v>3</v>
      </c>
      <c r="U164" t="str">
        <f t="shared" si="11"/>
        <v>Wednesday</v>
      </c>
    </row>
    <row r="165" spans="1:21" x14ac:dyDescent="0.2">
      <c r="A165" t="s">
        <v>203</v>
      </c>
      <c r="B165" t="s">
        <v>29</v>
      </c>
      <c r="C165" t="s">
        <v>30</v>
      </c>
      <c r="D165" t="s">
        <v>31</v>
      </c>
      <c r="E165" t="s">
        <v>181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27</v>
      </c>
      <c r="N165">
        <v>152.80000000000001</v>
      </c>
      <c r="O165">
        <v>4.7619047620000003</v>
      </c>
      <c r="P165">
        <v>7.64</v>
      </c>
      <c r="Q165">
        <v>6.5</v>
      </c>
      <c r="R165" s="3">
        <f t="shared" si="8"/>
        <v>152.80000000000001</v>
      </c>
      <c r="S165" t="str">
        <f t="shared" si="9"/>
        <v>January</v>
      </c>
      <c r="T165">
        <f t="shared" si="10"/>
        <v>1</v>
      </c>
      <c r="U165" t="str">
        <f t="shared" si="11"/>
        <v>Wednesday</v>
      </c>
    </row>
    <row r="166" spans="1:21" x14ac:dyDescent="0.2">
      <c r="A166" t="s">
        <v>204</v>
      </c>
      <c r="B166" t="s">
        <v>45</v>
      </c>
      <c r="C166" t="s">
        <v>46</v>
      </c>
      <c r="D166" t="s">
        <v>31</v>
      </c>
      <c r="E166" t="s">
        <v>181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  <c r="R166" s="3">
        <f t="shared" si="8"/>
        <v>399</v>
      </c>
      <c r="S166" t="str">
        <f t="shared" si="9"/>
        <v>February</v>
      </c>
      <c r="T166">
        <f t="shared" si="10"/>
        <v>2</v>
      </c>
      <c r="U166" t="str">
        <f t="shared" si="11"/>
        <v>Wednesday</v>
      </c>
    </row>
    <row r="167" spans="1:21" x14ac:dyDescent="0.2">
      <c r="A167" t="s">
        <v>205</v>
      </c>
      <c r="B167" t="s">
        <v>45</v>
      </c>
      <c r="C167" t="s">
        <v>46</v>
      </c>
      <c r="D167" t="s">
        <v>24</v>
      </c>
      <c r="E167" t="s">
        <v>181</v>
      </c>
      <c r="F167" t="s">
        <v>26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27</v>
      </c>
      <c r="N167">
        <v>340.56</v>
      </c>
      <c r="O167">
        <v>4.7619047620000003</v>
      </c>
      <c r="P167">
        <v>17.027999999999999</v>
      </c>
      <c r="Q167">
        <v>5.6</v>
      </c>
      <c r="R167" s="3">
        <f t="shared" si="8"/>
        <v>340.56</v>
      </c>
      <c r="S167" t="str">
        <f t="shared" si="9"/>
        <v>February</v>
      </c>
      <c r="T167">
        <f t="shared" si="10"/>
        <v>2</v>
      </c>
      <c r="U167" t="str">
        <f t="shared" si="11"/>
        <v>Monday</v>
      </c>
    </row>
    <row r="168" spans="1:21" x14ac:dyDescent="0.2">
      <c r="A168" t="s">
        <v>206</v>
      </c>
      <c r="B168" t="s">
        <v>29</v>
      </c>
      <c r="C168" t="s">
        <v>30</v>
      </c>
      <c r="D168" t="s">
        <v>31</v>
      </c>
      <c r="E168" t="s">
        <v>181</v>
      </c>
      <c r="F168" t="s">
        <v>35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33</v>
      </c>
      <c r="N168">
        <v>955.8</v>
      </c>
      <c r="O168">
        <v>4.7619047620000003</v>
      </c>
      <c r="P168">
        <v>47.79</v>
      </c>
      <c r="Q168">
        <v>4.8</v>
      </c>
      <c r="R168" s="3">
        <f t="shared" si="8"/>
        <v>955.8</v>
      </c>
      <c r="S168" t="str">
        <f t="shared" si="9"/>
        <v>January</v>
      </c>
      <c r="T168">
        <f t="shared" si="10"/>
        <v>1</v>
      </c>
      <c r="U168" t="str">
        <f t="shared" si="11"/>
        <v>Wednesday</v>
      </c>
    </row>
    <row r="169" spans="1:21" x14ac:dyDescent="0.2">
      <c r="A169" t="s">
        <v>207</v>
      </c>
      <c r="B169" t="s">
        <v>22</v>
      </c>
      <c r="C169" t="s">
        <v>23</v>
      </c>
      <c r="D169" t="s">
        <v>31</v>
      </c>
      <c r="E169" t="s">
        <v>181</v>
      </c>
      <c r="F169" t="s">
        <v>49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  <c r="R169" s="3">
        <f t="shared" si="8"/>
        <v>989.80000000000007</v>
      </c>
      <c r="S169" t="str">
        <f t="shared" si="9"/>
        <v>August</v>
      </c>
      <c r="T169">
        <f t="shared" si="10"/>
        <v>8</v>
      </c>
      <c r="U169" t="str">
        <f t="shared" si="11"/>
        <v>Friday</v>
      </c>
    </row>
    <row r="170" spans="1:21" x14ac:dyDescent="0.2">
      <c r="A170" t="s">
        <v>208</v>
      </c>
      <c r="B170" t="s">
        <v>22</v>
      </c>
      <c r="C170" t="s">
        <v>23</v>
      </c>
      <c r="D170" t="s">
        <v>31</v>
      </c>
      <c r="E170" t="s">
        <v>181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33</v>
      </c>
      <c r="N170">
        <v>307.68</v>
      </c>
      <c r="O170">
        <v>4.7619047620000003</v>
      </c>
      <c r="P170">
        <v>15.384</v>
      </c>
      <c r="Q170">
        <v>6.5</v>
      </c>
      <c r="R170" s="3">
        <f t="shared" si="8"/>
        <v>307.68</v>
      </c>
      <c r="S170" t="str">
        <f t="shared" si="9"/>
        <v>January</v>
      </c>
      <c r="T170">
        <f t="shared" si="10"/>
        <v>1</v>
      </c>
      <c r="U170" t="str">
        <f t="shared" si="11"/>
        <v>Saturday</v>
      </c>
    </row>
    <row r="171" spans="1:21" x14ac:dyDescent="0.2">
      <c r="A171" t="s">
        <v>209</v>
      </c>
      <c r="B171" t="s">
        <v>22</v>
      </c>
      <c r="C171" t="s">
        <v>23</v>
      </c>
      <c r="D171" t="s">
        <v>24</v>
      </c>
      <c r="E171" t="s">
        <v>181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  <c r="R171" s="3">
        <f t="shared" si="8"/>
        <v>486.64</v>
      </c>
      <c r="S171" t="str">
        <f t="shared" si="9"/>
        <v>January</v>
      </c>
      <c r="T171">
        <f t="shared" si="10"/>
        <v>1</v>
      </c>
      <c r="U171" t="str">
        <f t="shared" si="11"/>
        <v>Wednesday</v>
      </c>
    </row>
    <row r="172" spans="1:21" x14ac:dyDescent="0.2">
      <c r="A172" t="s">
        <v>210</v>
      </c>
      <c r="B172" t="s">
        <v>22</v>
      </c>
      <c r="C172" t="s">
        <v>23</v>
      </c>
      <c r="D172" t="s">
        <v>31</v>
      </c>
      <c r="E172" t="s">
        <v>181</v>
      </c>
      <c r="F172" t="s">
        <v>26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27</v>
      </c>
      <c r="N172">
        <v>350.05</v>
      </c>
      <c r="O172">
        <v>4.7619047620000003</v>
      </c>
      <c r="P172">
        <v>17.502500000000001</v>
      </c>
      <c r="Q172">
        <v>5.5</v>
      </c>
      <c r="R172" s="3">
        <f t="shared" si="8"/>
        <v>350.05</v>
      </c>
      <c r="S172" t="str">
        <f t="shared" si="9"/>
        <v>March</v>
      </c>
      <c r="T172">
        <f t="shared" si="10"/>
        <v>3</v>
      </c>
      <c r="U172" t="str">
        <f t="shared" si="11"/>
        <v>Friday</v>
      </c>
    </row>
    <row r="173" spans="1:21" x14ac:dyDescent="0.2">
      <c r="A173" t="s">
        <v>211</v>
      </c>
      <c r="B173" t="s">
        <v>45</v>
      </c>
      <c r="C173" t="s">
        <v>46</v>
      </c>
      <c r="D173" t="s">
        <v>24</v>
      </c>
      <c r="E173" t="s">
        <v>181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  <c r="R173" s="3">
        <f t="shared" si="8"/>
        <v>400.25</v>
      </c>
      <c r="S173" t="str">
        <f t="shared" si="9"/>
        <v>January</v>
      </c>
      <c r="T173">
        <f t="shared" si="10"/>
        <v>1</v>
      </c>
      <c r="U173" t="str">
        <f t="shared" si="11"/>
        <v>Saturday</v>
      </c>
    </row>
    <row r="174" spans="1:21" x14ac:dyDescent="0.2">
      <c r="A174" t="s">
        <v>212</v>
      </c>
      <c r="B174" t="s">
        <v>29</v>
      </c>
      <c r="C174" t="s">
        <v>30</v>
      </c>
      <c r="D174" t="s">
        <v>31</v>
      </c>
      <c r="E174" t="s">
        <v>181</v>
      </c>
      <c r="F174" t="s">
        <v>32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33</v>
      </c>
      <c r="N174">
        <v>166.8</v>
      </c>
      <c r="O174">
        <v>4.7619047620000003</v>
      </c>
      <c r="P174">
        <v>8.34</v>
      </c>
      <c r="Q174">
        <v>6.3</v>
      </c>
      <c r="R174" s="3">
        <f t="shared" si="8"/>
        <v>166.8</v>
      </c>
      <c r="S174" t="str">
        <f t="shared" si="9"/>
        <v>March</v>
      </c>
      <c r="T174">
        <f t="shared" si="10"/>
        <v>3</v>
      </c>
      <c r="U174" t="str">
        <f t="shared" si="11"/>
        <v>Sunday</v>
      </c>
    </row>
    <row r="175" spans="1:21" x14ac:dyDescent="0.2">
      <c r="A175" t="s">
        <v>213</v>
      </c>
      <c r="B175" t="s">
        <v>45</v>
      </c>
      <c r="C175" t="s">
        <v>46</v>
      </c>
      <c r="D175" t="s">
        <v>24</v>
      </c>
      <c r="E175" t="s">
        <v>181</v>
      </c>
      <c r="F175" t="s">
        <v>32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3">
        <f t="shared" si="8"/>
        <v>317.34000000000003</v>
      </c>
      <c r="S175" t="str">
        <f t="shared" si="9"/>
        <v>January</v>
      </c>
      <c r="T175">
        <f t="shared" si="10"/>
        <v>1</v>
      </c>
      <c r="U175" t="str">
        <f t="shared" si="11"/>
        <v>Saturday</v>
      </c>
    </row>
    <row r="176" spans="1:21" x14ac:dyDescent="0.2">
      <c r="A176" t="s">
        <v>214</v>
      </c>
      <c r="B176" t="s">
        <v>45</v>
      </c>
      <c r="C176" t="s">
        <v>46</v>
      </c>
      <c r="D176" t="s">
        <v>31</v>
      </c>
      <c r="E176" t="s">
        <v>181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27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3">
        <f t="shared" si="8"/>
        <v>158.32</v>
      </c>
      <c r="S176" t="str">
        <f t="shared" si="9"/>
        <v>January</v>
      </c>
      <c r="T176">
        <f t="shared" si="10"/>
        <v>1</v>
      </c>
      <c r="U176" t="str">
        <f t="shared" si="11"/>
        <v>Friday</v>
      </c>
    </row>
    <row r="177" spans="1:21" x14ac:dyDescent="0.2">
      <c r="A177" t="s">
        <v>215</v>
      </c>
      <c r="B177" t="s">
        <v>22</v>
      </c>
      <c r="C177" t="s">
        <v>23</v>
      </c>
      <c r="D177" t="s">
        <v>24</v>
      </c>
      <c r="E177" t="s">
        <v>181</v>
      </c>
      <c r="F177" t="s">
        <v>35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27</v>
      </c>
      <c r="N177">
        <v>304.56</v>
      </c>
      <c r="O177">
        <v>4.7619047620000003</v>
      </c>
      <c r="P177">
        <v>15.228</v>
      </c>
      <c r="Q177">
        <v>8.8000000000000007</v>
      </c>
      <c r="R177" s="3">
        <f t="shared" si="8"/>
        <v>304.56000000000006</v>
      </c>
      <c r="S177" t="str">
        <f t="shared" si="9"/>
        <v>March</v>
      </c>
      <c r="T177">
        <f t="shared" si="10"/>
        <v>3</v>
      </c>
      <c r="U177" t="str">
        <f t="shared" si="11"/>
        <v>Thursday</v>
      </c>
    </row>
    <row r="178" spans="1:21" x14ac:dyDescent="0.2">
      <c r="A178" t="s">
        <v>216</v>
      </c>
      <c r="B178" t="s">
        <v>22</v>
      </c>
      <c r="C178" t="s">
        <v>23</v>
      </c>
      <c r="D178" t="s">
        <v>24</v>
      </c>
      <c r="E178" t="s">
        <v>181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  <c r="R178" s="3">
        <f t="shared" si="8"/>
        <v>177.36</v>
      </c>
      <c r="S178" t="str">
        <f t="shared" si="9"/>
        <v>March</v>
      </c>
      <c r="T178">
        <f t="shared" si="10"/>
        <v>3</v>
      </c>
      <c r="U178" t="str">
        <f t="shared" si="11"/>
        <v>Sunday</v>
      </c>
    </row>
    <row r="179" spans="1:21" x14ac:dyDescent="0.2">
      <c r="A179" t="s">
        <v>217</v>
      </c>
      <c r="B179" t="s">
        <v>29</v>
      </c>
      <c r="C179" t="s">
        <v>30</v>
      </c>
      <c r="D179" t="s">
        <v>31</v>
      </c>
      <c r="E179" t="s">
        <v>25</v>
      </c>
      <c r="F179" t="s">
        <v>49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  <c r="R179" s="3">
        <f t="shared" si="8"/>
        <v>157.57000000000002</v>
      </c>
      <c r="S179" t="str">
        <f t="shared" si="9"/>
        <v>February</v>
      </c>
      <c r="T179">
        <f t="shared" si="10"/>
        <v>2</v>
      </c>
      <c r="U179" t="str">
        <f t="shared" si="11"/>
        <v>Wednesday</v>
      </c>
    </row>
    <row r="180" spans="1:21" x14ac:dyDescent="0.2">
      <c r="A180" t="s">
        <v>218</v>
      </c>
      <c r="B180" t="s">
        <v>22</v>
      </c>
      <c r="C180" t="s">
        <v>23</v>
      </c>
      <c r="D180" t="s">
        <v>31</v>
      </c>
      <c r="E180" t="s">
        <v>181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27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3">
        <f t="shared" si="8"/>
        <v>443.28</v>
      </c>
      <c r="S180" t="str">
        <f t="shared" si="9"/>
        <v>March</v>
      </c>
      <c r="T180">
        <f t="shared" si="10"/>
        <v>3</v>
      </c>
      <c r="U180" t="str">
        <f t="shared" si="11"/>
        <v>Saturday</v>
      </c>
    </row>
    <row r="181" spans="1:21" x14ac:dyDescent="0.2">
      <c r="A181" t="s">
        <v>219</v>
      </c>
      <c r="B181" t="s">
        <v>29</v>
      </c>
      <c r="C181" t="s">
        <v>30</v>
      </c>
      <c r="D181" t="s">
        <v>24</v>
      </c>
      <c r="E181" t="s">
        <v>181</v>
      </c>
      <c r="F181" t="s">
        <v>26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27</v>
      </c>
      <c r="N181">
        <v>260.39999999999998</v>
      </c>
      <c r="O181">
        <v>4.7619047620000003</v>
      </c>
      <c r="P181">
        <v>13.02</v>
      </c>
      <c r="Q181">
        <v>9.9</v>
      </c>
      <c r="R181" s="3">
        <f t="shared" si="8"/>
        <v>260.39999999999998</v>
      </c>
      <c r="S181" t="str">
        <f t="shared" si="9"/>
        <v>January</v>
      </c>
      <c r="T181">
        <f t="shared" si="10"/>
        <v>1</v>
      </c>
      <c r="U181" t="str">
        <f t="shared" si="11"/>
        <v>Monday</v>
      </c>
    </row>
    <row r="182" spans="1:21" x14ac:dyDescent="0.2">
      <c r="A182" t="s">
        <v>220</v>
      </c>
      <c r="B182" t="s">
        <v>29</v>
      </c>
      <c r="C182" t="s">
        <v>30</v>
      </c>
      <c r="D182" t="s">
        <v>31</v>
      </c>
      <c r="E182" t="s">
        <v>181</v>
      </c>
      <c r="F182" t="s">
        <v>49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33</v>
      </c>
      <c r="N182">
        <v>449.82</v>
      </c>
      <c r="O182">
        <v>4.7619047620000003</v>
      </c>
      <c r="P182">
        <v>22.491</v>
      </c>
      <c r="Q182">
        <v>5.7</v>
      </c>
      <c r="R182" s="3">
        <f t="shared" si="8"/>
        <v>449.82000000000005</v>
      </c>
      <c r="S182" t="str">
        <f t="shared" si="9"/>
        <v>September</v>
      </c>
      <c r="T182">
        <f t="shared" si="10"/>
        <v>9</v>
      </c>
      <c r="U182" t="str">
        <f t="shared" si="11"/>
        <v>Monday</v>
      </c>
    </row>
    <row r="183" spans="1:21" x14ac:dyDescent="0.2">
      <c r="A183" t="s">
        <v>221</v>
      </c>
      <c r="B183" t="s">
        <v>29</v>
      </c>
      <c r="C183" t="s">
        <v>30</v>
      </c>
      <c r="D183" t="s">
        <v>24</v>
      </c>
      <c r="E183" t="s">
        <v>181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33</v>
      </c>
      <c r="N183">
        <v>307.76</v>
      </c>
      <c r="O183">
        <v>4.7619047620000003</v>
      </c>
      <c r="P183">
        <v>15.388</v>
      </c>
      <c r="Q183">
        <v>7.7</v>
      </c>
      <c r="R183" s="3">
        <f t="shared" si="8"/>
        <v>307.76</v>
      </c>
      <c r="S183" t="str">
        <f t="shared" si="9"/>
        <v>January</v>
      </c>
      <c r="T183">
        <f t="shared" si="10"/>
        <v>1</v>
      </c>
      <c r="U183" t="str">
        <f t="shared" si="11"/>
        <v>Wednesday</v>
      </c>
    </row>
    <row r="184" spans="1:21" x14ac:dyDescent="0.2">
      <c r="A184" t="s">
        <v>222</v>
      </c>
      <c r="B184" t="s">
        <v>22</v>
      </c>
      <c r="C184" t="s">
        <v>23</v>
      </c>
      <c r="D184" t="s">
        <v>24</v>
      </c>
      <c r="E184" t="s">
        <v>181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27</v>
      </c>
      <c r="N184">
        <v>155</v>
      </c>
      <c r="O184">
        <v>4.7619047620000003</v>
      </c>
      <c r="P184">
        <v>7.75</v>
      </c>
      <c r="Q184">
        <v>8</v>
      </c>
      <c r="R184" s="3">
        <f t="shared" si="8"/>
        <v>155</v>
      </c>
      <c r="S184" t="str">
        <f t="shared" si="9"/>
        <v>March</v>
      </c>
      <c r="T184">
        <f t="shared" si="10"/>
        <v>3</v>
      </c>
      <c r="U184" t="str">
        <f t="shared" si="11"/>
        <v>Saturday</v>
      </c>
    </row>
    <row r="185" spans="1:21" x14ac:dyDescent="0.2">
      <c r="A185" t="s">
        <v>223</v>
      </c>
      <c r="B185" t="s">
        <v>29</v>
      </c>
      <c r="C185" t="s">
        <v>30</v>
      </c>
      <c r="D185" t="s">
        <v>31</v>
      </c>
      <c r="E185" t="s">
        <v>181</v>
      </c>
      <c r="F185" t="s">
        <v>26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27</v>
      </c>
      <c r="N185">
        <v>274.48</v>
      </c>
      <c r="O185">
        <v>4.7619047620000003</v>
      </c>
      <c r="P185">
        <v>13.724</v>
      </c>
      <c r="Q185">
        <v>5.7</v>
      </c>
      <c r="R185" s="3">
        <f t="shared" si="8"/>
        <v>274.48</v>
      </c>
      <c r="S185" t="str">
        <f t="shared" si="9"/>
        <v>January</v>
      </c>
      <c r="T185">
        <f t="shared" si="10"/>
        <v>1</v>
      </c>
      <c r="U185" t="str">
        <f t="shared" si="11"/>
        <v>Friday</v>
      </c>
    </row>
    <row r="186" spans="1:21" x14ac:dyDescent="0.2">
      <c r="A186" t="s">
        <v>224</v>
      </c>
      <c r="B186" t="s">
        <v>22</v>
      </c>
      <c r="C186" t="s">
        <v>23</v>
      </c>
      <c r="D186" t="s">
        <v>31</v>
      </c>
      <c r="E186" t="s">
        <v>25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  <c r="R186" s="3">
        <f t="shared" si="8"/>
        <v>86.38</v>
      </c>
      <c r="S186" t="str">
        <f t="shared" si="9"/>
        <v>April</v>
      </c>
      <c r="T186">
        <f t="shared" si="10"/>
        <v>4</v>
      </c>
      <c r="U186" t="str">
        <f t="shared" si="11"/>
        <v>Wednesday</v>
      </c>
    </row>
    <row r="187" spans="1:21" x14ac:dyDescent="0.2">
      <c r="A187" t="s">
        <v>225</v>
      </c>
      <c r="B187" t="s">
        <v>45</v>
      </c>
      <c r="C187" t="s">
        <v>46</v>
      </c>
      <c r="D187" t="s">
        <v>24</v>
      </c>
      <c r="E187" t="s">
        <v>181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27</v>
      </c>
      <c r="N187">
        <v>54.24</v>
      </c>
      <c r="O187">
        <v>4.7619047620000003</v>
      </c>
      <c r="P187">
        <v>2.7120000000000002</v>
      </c>
      <c r="Q187">
        <v>8</v>
      </c>
      <c r="R187" s="3">
        <f t="shared" si="8"/>
        <v>54.239999999999995</v>
      </c>
      <c r="S187" t="str">
        <f t="shared" si="9"/>
        <v>May</v>
      </c>
      <c r="T187">
        <f t="shared" si="10"/>
        <v>5</v>
      </c>
      <c r="U187" t="str">
        <f t="shared" si="11"/>
        <v>Friday</v>
      </c>
    </row>
    <row r="188" spans="1:21" x14ac:dyDescent="0.2">
      <c r="A188" t="s">
        <v>226</v>
      </c>
      <c r="B188" t="s">
        <v>45</v>
      </c>
      <c r="C188" t="s">
        <v>46</v>
      </c>
      <c r="D188" t="s">
        <v>24</v>
      </c>
      <c r="E188" t="s">
        <v>25</v>
      </c>
      <c r="F188" t="s">
        <v>35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27</v>
      </c>
      <c r="N188">
        <v>755.92</v>
      </c>
      <c r="O188">
        <v>4.7619047620000003</v>
      </c>
      <c r="P188">
        <v>37.795999999999999</v>
      </c>
      <c r="Q188">
        <v>7.5</v>
      </c>
      <c r="R188" s="3">
        <f t="shared" si="8"/>
        <v>755.92</v>
      </c>
      <c r="S188" t="str">
        <f t="shared" si="9"/>
        <v>March</v>
      </c>
      <c r="T188">
        <f t="shared" si="10"/>
        <v>3</v>
      </c>
      <c r="U188" t="str">
        <f t="shared" si="11"/>
        <v>Sunday</v>
      </c>
    </row>
    <row r="189" spans="1:21" x14ac:dyDescent="0.2">
      <c r="A189" t="s">
        <v>227</v>
      </c>
      <c r="B189" t="s">
        <v>45</v>
      </c>
      <c r="C189" t="s">
        <v>46</v>
      </c>
      <c r="D189" t="s">
        <v>24</v>
      </c>
      <c r="E189" t="s">
        <v>181</v>
      </c>
      <c r="F189" t="s">
        <v>35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33</v>
      </c>
      <c r="N189">
        <v>185.88</v>
      </c>
      <c r="O189">
        <v>4.7619047620000003</v>
      </c>
      <c r="P189">
        <v>9.2940000000000005</v>
      </c>
      <c r="Q189">
        <v>7</v>
      </c>
      <c r="R189" s="3">
        <f t="shared" si="8"/>
        <v>185.88</v>
      </c>
      <c r="S189" t="str">
        <f t="shared" si="9"/>
        <v>August</v>
      </c>
      <c r="T189">
        <f t="shared" si="10"/>
        <v>8</v>
      </c>
      <c r="U189" t="str">
        <f t="shared" si="11"/>
        <v>Friday</v>
      </c>
    </row>
    <row r="190" spans="1:21" x14ac:dyDescent="0.2">
      <c r="A190" t="s">
        <v>228</v>
      </c>
      <c r="B190" t="s">
        <v>22</v>
      </c>
      <c r="C190" t="s">
        <v>23</v>
      </c>
      <c r="D190" t="s">
        <v>31</v>
      </c>
      <c r="E190" t="s">
        <v>181</v>
      </c>
      <c r="F190" t="s">
        <v>35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27</v>
      </c>
      <c r="N190">
        <v>74.069999999999993</v>
      </c>
      <c r="O190">
        <v>4.7619047620000003</v>
      </c>
      <c r="P190">
        <v>3.7035</v>
      </c>
      <c r="Q190">
        <v>9.9</v>
      </c>
      <c r="R190" s="3">
        <f t="shared" si="8"/>
        <v>74.069999999999993</v>
      </c>
      <c r="S190" t="str">
        <f t="shared" si="9"/>
        <v>October</v>
      </c>
      <c r="T190">
        <f t="shared" si="10"/>
        <v>10</v>
      </c>
      <c r="U190" t="str">
        <f t="shared" si="11"/>
        <v>Wednesday</v>
      </c>
    </row>
    <row r="191" spans="1:21" x14ac:dyDescent="0.2">
      <c r="A191" t="s">
        <v>229</v>
      </c>
      <c r="B191" t="s">
        <v>29</v>
      </c>
      <c r="C191" t="s">
        <v>30</v>
      </c>
      <c r="D191" t="s">
        <v>31</v>
      </c>
      <c r="E191" t="s">
        <v>25</v>
      </c>
      <c r="F191" t="s">
        <v>35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  <c r="R191" s="3">
        <f t="shared" si="8"/>
        <v>279.24</v>
      </c>
      <c r="S191" t="str">
        <f t="shared" si="9"/>
        <v>January</v>
      </c>
      <c r="T191">
        <f t="shared" si="10"/>
        <v>1</v>
      </c>
      <c r="U191" t="str">
        <f t="shared" si="11"/>
        <v>Monday</v>
      </c>
    </row>
    <row r="192" spans="1:21" x14ac:dyDescent="0.2">
      <c r="A192" t="s">
        <v>230</v>
      </c>
      <c r="B192" t="s">
        <v>45</v>
      </c>
      <c r="C192" t="s">
        <v>46</v>
      </c>
      <c r="D192" t="s">
        <v>31</v>
      </c>
      <c r="E192" t="s">
        <v>25</v>
      </c>
      <c r="F192" t="s">
        <v>35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  <c r="R192" s="3">
        <f t="shared" si="8"/>
        <v>231.12</v>
      </c>
      <c r="S192" t="str">
        <f t="shared" si="9"/>
        <v>November</v>
      </c>
      <c r="T192">
        <f t="shared" si="10"/>
        <v>11</v>
      </c>
      <c r="U192" t="str">
        <f t="shared" si="11"/>
        <v>Saturday</v>
      </c>
    </row>
    <row r="193" spans="1:21" x14ac:dyDescent="0.2">
      <c r="A193" t="s">
        <v>231</v>
      </c>
      <c r="B193" t="s">
        <v>45</v>
      </c>
      <c r="C193" t="s">
        <v>46</v>
      </c>
      <c r="D193" t="s">
        <v>31</v>
      </c>
      <c r="E193" t="s">
        <v>25</v>
      </c>
      <c r="F193" t="s">
        <v>49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27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3">
        <f t="shared" si="8"/>
        <v>147.04</v>
      </c>
      <c r="S193" t="str">
        <f t="shared" si="9"/>
        <v>January</v>
      </c>
      <c r="T193">
        <f t="shared" si="10"/>
        <v>1</v>
      </c>
      <c r="U193" t="str">
        <f t="shared" si="11"/>
        <v>Tuesday</v>
      </c>
    </row>
    <row r="194" spans="1:21" x14ac:dyDescent="0.2">
      <c r="A194" t="s">
        <v>232</v>
      </c>
      <c r="B194" t="s">
        <v>29</v>
      </c>
      <c r="C194" t="s">
        <v>30</v>
      </c>
      <c r="D194" t="s">
        <v>31</v>
      </c>
      <c r="E194" t="s">
        <v>25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33</v>
      </c>
      <c r="N194">
        <v>790.2</v>
      </c>
      <c r="O194">
        <v>4.7619047620000003</v>
      </c>
      <c r="P194">
        <v>39.51</v>
      </c>
      <c r="Q194">
        <v>9.1999999999999993</v>
      </c>
      <c r="R194" s="3">
        <f t="shared" si="8"/>
        <v>790.19999999999993</v>
      </c>
      <c r="S194" t="str">
        <f t="shared" si="9"/>
        <v>March</v>
      </c>
      <c r="T194">
        <f t="shared" si="10"/>
        <v>3</v>
      </c>
      <c r="U194" t="str">
        <f t="shared" si="11"/>
        <v>Saturday</v>
      </c>
    </row>
    <row r="195" spans="1:21" x14ac:dyDescent="0.2">
      <c r="A195" t="s">
        <v>233</v>
      </c>
      <c r="B195" t="s">
        <v>45</v>
      </c>
      <c r="C195" t="s">
        <v>46</v>
      </c>
      <c r="D195" t="s">
        <v>31</v>
      </c>
      <c r="E195" t="s">
        <v>181</v>
      </c>
      <c r="F195" t="s">
        <v>35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27</v>
      </c>
      <c r="N195">
        <v>102.2</v>
      </c>
      <c r="O195">
        <v>4.7619047620000003</v>
      </c>
      <c r="P195">
        <v>5.1100000000000003</v>
      </c>
      <c r="Q195">
        <v>5.7</v>
      </c>
      <c r="R195" s="3">
        <f t="shared" ref="R195:R258" si="12">H195*G195</f>
        <v>102.2</v>
      </c>
      <c r="S195" t="str">
        <f t="shared" ref="S195:S258" si="13">TEXT(K195,"mmmm")</f>
        <v>January</v>
      </c>
      <c r="T195">
        <f t="shared" ref="T195:T258" si="14">MONTH(K195)</f>
        <v>1</v>
      </c>
      <c r="U195" t="str">
        <f t="shared" ref="U195:U258" si="15">TEXT(K195,"dddd")</f>
        <v>Saturday</v>
      </c>
    </row>
    <row r="196" spans="1:21" x14ac:dyDescent="0.2">
      <c r="A196" t="s">
        <v>234</v>
      </c>
      <c r="B196" t="s">
        <v>22</v>
      </c>
      <c r="C196" t="s">
        <v>23</v>
      </c>
      <c r="D196" t="s">
        <v>31</v>
      </c>
      <c r="E196" t="s">
        <v>181</v>
      </c>
      <c r="F196" t="s">
        <v>32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  <c r="R196" s="3">
        <f t="shared" si="12"/>
        <v>163.55000000000001</v>
      </c>
      <c r="S196" t="str">
        <f t="shared" si="13"/>
        <v>March</v>
      </c>
      <c r="T196">
        <f t="shared" si="14"/>
        <v>3</v>
      </c>
      <c r="U196" t="str">
        <f t="shared" si="15"/>
        <v>Tuesday</v>
      </c>
    </row>
    <row r="197" spans="1:21" x14ac:dyDescent="0.2">
      <c r="A197" t="s">
        <v>235</v>
      </c>
      <c r="B197" t="s">
        <v>29</v>
      </c>
      <c r="C197" t="s">
        <v>30</v>
      </c>
      <c r="D197" t="s">
        <v>24</v>
      </c>
      <c r="E197" t="s">
        <v>25</v>
      </c>
      <c r="F197" t="s">
        <v>49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33</v>
      </c>
      <c r="N197">
        <v>74.290000000000006</v>
      </c>
      <c r="O197">
        <v>4.7619047620000003</v>
      </c>
      <c r="P197">
        <v>3.7145000000000001</v>
      </c>
      <c r="Q197">
        <v>5</v>
      </c>
      <c r="R197" s="3">
        <f t="shared" si="12"/>
        <v>74.290000000000006</v>
      </c>
      <c r="S197" t="str">
        <f t="shared" si="13"/>
        <v>January</v>
      </c>
      <c r="T197">
        <f t="shared" si="14"/>
        <v>1</v>
      </c>
      <c r="U197" t="str">
        <f t="shared" si="15"/>
        <v>Sunday</v>
      </c>
    </row>
    <row r="198" spans="1:21" x14ac:dyDescent="0.2">
      <c r="A198" t="s">
        <v>236</v>
      </c>
      <c r="B198" t="s">
        <v>29</v>
      </c>
      <c r="C198" t="s">
        <v>30</v>
      </c>
      <c r="D198" t="s">
        <v>24</v>
      </c>
      <c r="E198" t="s">
        <v>181</v>
      </c>
      <c r="F198" t="s">
        <v>26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33</v>
      </c>
      <c r="N198">
        <v>87.4</v>
      </c>
      <c r="O198">
        <v>4.7619047620000003</v>
      </c>
      <c r="P198">
        <v>4.37</v>
      </c>
      <c r="Q198">
        <v>4.9000000000000004</v>
      </c>
      <c r="R198" s="3">
        <f t="shared" si="12"/>
        <v>87.4</v>
      </c>
      <c r="S198" t="str">
        <f t="shared" si="13"/>
        <v>March</v>
      </c>
      <c r="T198">
        <f t="shared" si="14"/>
        <v>3</v>
      </c>
      <c r="U198" t="str">
        <f t="shared" si="15"/>
        <v>Tuesday</v>
      </c>
    </row>
    <row r="199" spans="1:21" x14ac:dyDescent="0.2">
      <c r="A199" t="s">
        <v>237</v>
      </c>
      <c r="B199" t="s">
        <v>22</v>
      </c>
      <c r="C199" t="s">
        <v>23</v>
      </c>
      <c r="D199" t="s">
        <v>31</v>
      </c>
      <c r="E199" t="s">
        <v>25</v>
      </c>
      <c r="F199" t="s">
        <v>35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27</v>
      </c>
      <c r="N199">
        <v>25.29</v>
      </c>
      <c r="O199">
        <v>4.7619047620000003</v>
      </c>
      <c r="P199">
        <v>1.2645</v>
      </c>
      <c r="Q199">
        <v>6.1</v>
      </c>
      <c r="R199" s="3">
        <f t="shared" si="12"/>
        <v>25.29</v>
      </c>
      <c r="S199" t="str">
        <f t="shared" si="13"/>
        <v>March</v>
      </c>
      <c r="T199">
        <f t="shared" si="14"/>
        <v>3</v>
      </c>
      <c r="U199" t="str">
        <f t="shared" si="15"/>
        <v>Saturday</v>
      </c>
    </row>
    <row r="200" spans="1:21" x14ac:dyDescent="0.2">
      <c r="A200" t="s">
        <v>238</v>
      </c>
      <c r="B200" t="s">
        <v>29</v>
      </c>
      <c r="C200" t="s">
        <v>30</v>
      </c>
      <c r="D200" t="s">
        <v>31</v>
      </c>
      <c r="E200" t="s">
        <v>181</v>
      </c>
      <c r="F200" t="s">
        <v>26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  <c r="R200" s="3">
        <f t="shared" si="12"/>
        <v>166</v>
      </c>
      <c r="S200" t="str">
        <f t="shared" si="13"/>
        <v>December</v>
      </c>
      <c r="T200">
        <f t="shared" si="14"/>
        <v>12</v>
      </c>
      <c r="U200" t="str">
        <f t="shared" si="15"/>
        <v>Tuesday</v>
      </c>
    </row>
    <row r="201" spans="1:21" x14ac:dyDescent="0.2">
      <c r="A201" t="s">
        <v>239</v>
      </c>
      <c r="B201" t="s">
        <v>29</v>
      </c>
      <c r="C201" t="s">
        <v>30</v>
      </c>
      <c r="D201" t="s">
        <v>24</v>
      </c>
      <c r="E201" t="s">
        <v>25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  <c r="R201" s="3">
        <f t="shared" si="12"/>
        <v>356.95</v>
      </c>
      <c r="S201" t="str">
        <f t="shared" si="13"/>
        <v>February</v>
      </c>
      <c r="T201">
        <f t="shared" si="14"/>
        <v>2</v>
      </c>
      <c r="U201" t="str">
        <f t="shared" si="15"/>
        <v>Sunday</v>
      </c>
    </row>
    <row r="202" spans="1:21" x14ac:dyDescent="0.2">
      <c r="A202" t="s">
        <v>240</v>
      </c>
      <c r="B202" t="s">
        <v>29</v>
      </c>
      <c r="C202" t="s">
        <v>30</v>
      </c>
      <c r="D202" t="s">
        <v>24</v>
      </c>
      <c r="E202" t="s">
        <v>25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  <c r="R202" s="3">
        <f t="shared" si="12"/>
        <v>114.89999999999999</v>
      </c>
      <c r="S202" t="str">
        <f t="shared" si="13"/>
        <v>January</v>
      </c>
      <c r="T202">
        <f t="shared" si="14"/>
        <v>1</v>
      </c>
      <c r="U202" t="str">
        <f t="shared" si="15"/>
        <v>Tuesday</v>
      </c>
    </row>
    <row r="203" spans="1:21" x14ac:dyDescent="0.2">
      <c r="A203" t="s">
        <v>241</v>
      </c>
      <c r="B203" t="s">
        <v>45</v>
      </c>
      <c r="C203" t="s">
        <v>46</v>
      </c>
      <c r="D203" t="s">
        <v>24</v>
      </c>
      <c r="E203" t="s">
        <v>25</v>
      </c>
      <c r="F203" t="s">
        <v>32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33</v>
      </c>
      <c r="N203">
        <v>229.96</v>
      </c>
      <c r="O203">
        <v>4.7619047620000003</v>
      </c>
      <c r="P203">
        <v>11.497999999999999</v>
      </c>
      <c r="Q203">
        <v>6.6</v>
      </c>
      <c r="R203" s="3">
        <f t="shared" si="12"/>
        <v>229.96</v>
      </c>
      <c r="S203" t="str">
        <f t="shared" si="13"/>
        <v>March</v>
      </c>
      <c r="T203">
        <f t="shared" si="14"/>
        <v>3</v>
      </c>
      <c r="U203" t="str">
        <f t="shared" si="15"/>
        <v>Friday</v>
      </c>
    </row>
    <row r="204" spans="1:21" x14ac:dyDescent="0.2">
      <c r="A204" t="s">
        <v>242</v>
      </c>
      <c r="B204" t="s">
        <v>29</v>
      </c>
      <c r="C204" t="s">
        <v>30</v>
      </c>
      <c r="D204" t="s">
        <v>31</v>
      </c>
      <c r="E204" t="s">
        <v>181</v>
      </c>
      <c r="F204" t="s">
        <v>32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33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3">
        <f t="shared" si="12"/>
        <v>429.87</v>
      </c>
      <c r="S204" t="str">
        <f t="shared" si="13"/>
        <v>January</v>
      </c>
      <c r="T204">
        <f t="shared" si="14"/>
        <v>1</v>
      </c>
      <c r="U204" t="str">
        <f t="shared" si="15"/>
        <v>Monday</v>
      </c>
    </row>
    <row r="205" spans="1:21" x14ac:dyDescent="0.2">
      <c r="A205" t="s">
        <v>243</v>
      </c>
      <c r="B205" t="s">
        <v>45</v>
      </c>
      <c r="C205" t="s">
        <v>46</v>
      </c>
      <c r="D205" t="s">
        <v>24</v>
      </c>
      <c r="E205" t="s">
        <v>181</v>
      </c>
      <c r="F205" t="s">
        <v>26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27</v>
      </c>
      <c r="N205">
        <v>259</v>
      </c>
      <c r="O205">
        <v>4.7619047620000003</v>
      </c>
      <c r="P205">
        <v>12.95</v>
      </c>
      <c r="Q205">
        <v>8.6999999999999993</v>
      </c>
      <c r="R205" s="3">
        <f t="shared" si="12"/>
        <v>259</v>
      </c>
      <c r="S205" t="str">
        <f t="shared" si="13"/>
        <v>June</v>
      </c>
      <c r="T205">
        <f t="shared" si="14"/>
        <v>6</v>
      </c>
      <c r="U205" t="str">
        <f t="shared" si="15"/>
        <v>Sunday</v>
      </c>
    </row>
    <row r="206" spans="1:21" x14ac:dyDescent="0.2">
      <c r="A206" t="s">
        <v>244</v>
      </c>
      <c r="B206" t="s">
        <v>45</v>
      </c>
      <c r="C206" t="s">
        <v>46</v>
      </c>
      <c r="D206" t="s">
        <v>24</v>
      </c>
      <c r="E206" t="s">
        <v>181</v>
      </c>
      <c r="F206" t="s">
        <v>35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  <c r="R206" s="3">
        <f t="shared" si="12"/>
        <v>88.85</v>
      </c>
      <c r="S206" t="str">
        <f t="shared" si="13"/>
        <v>February</v>
      </c>
      <c r="T206">
        <f t="shared" si="14"/>
        <v>2</v>
      </c>
      <c r="U206" t="str">
        <f t="shared" si="15"/>
        <v>Friday</v>
      </c>
    </row>
    <row r="207" spans="1:21" x14ac:dyDescent="0.2">
      <c r="A207" t="s">
        <v>245</v>
      </c>
      <c r="B207" t="s">
        <v>22</v>
      </c>
      <c r="C207" t="s">
        <v>23</v>
      </c>
      <c r="D207" t="s">
        <v>31</v>
      </c>
      <c r="E207" t="s">
        <v>25</v>
      </c>
      <c r="F207" t="s">
        <v>26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27</v>
      </c>
      <c r="N207">
        <v>207.27</v>
      </c>
      <c r="O207">
        <v>4.7619047620000003</v>
      </c>
      <c r="P207">
        <v>10.3635</v>
      </c>
      <c r="Q207">
        <v>7.9</v>
      </c>
      <c r="R207" s="3">
        <f t="shared" si="12"/>
        <v>207.27</v>
      </c>
      <c r="S207" t="str">
        <f t="shared" si="13"/>
        <v>March</v>
      </c>
      <c r="T207">
        <f t="shared" si="14"/>
        <v>3</v>
      </c>
      <c r="U207" t="str">
        <f t="shared" si="15"/>
        <v>Friday</v>
      </c>
    </row>
    <row r="208" spans="1:21" x14ac:dyDescent="0.2">
      <c r="A208" t="s">
        <v>246</v>
      </c>
      <c r="B208" t="s">
        <v>29</v>
      </c>
      <c r="C208" t="s">
        <v>30</v>
      </c>
      <c r="D208" t="s">
        <v>24</v>
      </c>
      <c r="E208" t="s">
        <v>25</v>
      </c>
      <c r="F208" t="s">
        <v>32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  <c r="R208" s="3">
        <f t="shared" si="12"/>
        <v>599.85</v>
      </c>
      <c r="S208" t="str">
        <f t="shared" si="13"/>
        <v>April</v>
      </c>
      <c r="T208">
        <f t="shared" si="14"/>
        <v>4</v>
      </c>
      <c r="U208" t="str">
        <f t="shared" si="15"/>
        <v>Monday</v>
      </c>
    </row>
    <row r="209" spans="1:21" x14ac:dyDescent="0.2">
      <c r="A209" t="s">
        <v>247</v>
      </c>
      <c r="B209" t="s">
        <v>29</v>
      </c>
      <c r="C209" t="s">
        <v>30</v>
      </c>
      <c r="D209" t="s">
        <v>24</v>
      </c>
      <c r="E209" t="s">
        <v>25</v>
      </c>
      <c r="F209" t="s">
        <v>35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27</v>
      </c>
      <c r="N209">
        <v>285.3</v>
      </c>
      <c r="O209">
        <v>4.7619047620000003</v>
      </c>
      <c r="P209">
        <v>14.265000000000001</v>
      </c>
      <c r="Q209">
        <v>7.8</v>
      </c>
      <c r="R209" s="3">
        <f t="shared" si="12"/>
        <v>285.3</v>
      </c>
      <c r="S209" t="str">
        <f t="shared" si="13"/>
        <v>March</v>
      </c>
      <c r="T209">
        <f t="shared" si="14"/>
        <v>3</v>
      </c>
      <c r="U209" t="str">
        <f t="shared" si="15"/>
        <v>Monday</v>
      </c>
    </row>
    <row r="210" spans="1:21" x14ac:dyDescent="0.2">
      <c r="A210" t="s">
        <v>248</v>
      </c>
      <c r="B210" t="s">
        <v>45</v>
      </c>
      <c r="C210" t="s">
        <v>46</v>
      </c>
      <c r="D210" t="s">
        <v>31</v>
      </c>
      <c r="E210" t="s">
        <v>25</v>
      </c>
      <c r="F210" t="s">
        <v>49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27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3">
        <f t="shared" si="12"/>
        <v>91.11</v>
      </c>
      <c r="S210" t="str">
        <f t="shared" si="13"/>
        <v>March</v>
      </c>
      <c r="T210">
        <f t="shared" si="14"/>
        <v>3</v>
      </c>
      <c r="U210" t="str">
        <f t="shared" si="15"/>
        <v>Thursday</v>
      </c>
    </row>
    <row r="211" spans="1:21" x14ac:dyDescent="0.2">
      <c r="A211" t="s">
        <v>249</v>
      </c>
      <c r="B211" t="s">
        <v>45</v>
      </c>
      <c r="C211" t="s">
        <v>46</v>
      </c>
      <c r="D211" t="s">
        <v>31</v>
      </c>
      <c r="E211" t="s">
        <v>25</v>
      </c>
      <c r="F211" t="s">
        <v>32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  <c r="R211" s="3">
        <f t="shared" si="12"/>
        <v>897.57</v>
      </c>
      <c r="S211" t="str">
        <f t="shared" si="13"/>
        <v>February</v>
      </c>
      <c r="T211">
        <f t="shared" si="14"/>
        <v>2</v>
      </c>
      <c r="U211" t="str">
        <f t="shared" si="15"/>
        <v>Sunday</v>
      </c>
    </row>
    <row r="212" spans="1:21" x14ac:dyDescent="0.2">
      <c r="A212" t="s">
        <v>250</v>
      </c>
      <c r="B212" t="s">
        <v>22</v>
      </c>
      <c r="C212" t="s">
        <v>23</v>
      </c>
      <c r="D212" t="s">
        <v>31</v>
      </c>
      <c r="E212" t="s">
        <v>181</v>
      </c>
      <c r="F212" t="s">
        <v>32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27</v>
      </c>
      <c r="N212">
        <v>236.07</v>
      </c>
      <c r="O212">
        <v>4.7619047620000003</v>
      </c>
      <c r="P212">
        <v>11.8035</v>
      </c>
      <c r="Q212">
        <v>5.9</v>
      </c>
      <c r="R212" s="3">
        <f t="shared" si="12"/>
        <v>236.07</v>
      </c>
      <c r="S212" t="str">
        <f t="shared" si="13"/>
        <v>January</v>
      </c>
      <c r="T212">
        <f t="shared" si="14"/>
        <v>1</v>
      </c>
      <c r="U212" t="str">
        <f t="shared" si="15"/>
        <v>Friday</v>
      </c>
    </row>
    <row r="213" spans="1:21" x14ac:dyDescent="0.2">
      <c r="A213" t="s">
        <v>251</v>
      </c>
      <c r="B213" t="s">
        <v>29</v>
      </c>
      <c r="C213" t="s">
        <v>30</v>
      </c>
      <c r="D213" t="s">
        <v>31</v>
      </c>
      <c r="E213" t="s">
        <v>25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33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3">
        <f t="shared" si="12"/>
        <v>839.34</v>
      </c>
      <c r="S213" t="str">
        <f t="shared" si="13"/>
        <v>January</v>
      </c>
      <c r="T213">
        <f t="shared" si="14"/>
        <v>1</v>
      </c>
      <c r="U213" t="str">
        <f t="shared" si="15"/>
        <v>Wednesday</v>
      </c>
    </row>
    <row r="214" spans="1:21" x14ac:dyDescent="0.2">
      <c r="A214" t="s">
        <v>252</v>
      </c>
      <c r="B214" t="s">
        <v>45</v>
      </c>
      <c r="C214" t="s">
        <v>46</v>
      </c>
      <c r="D214" t="s">
        <v>31</v>
      </c>
      <c r="E214" t="s">
        <v>181</v>
      </c>
      <c r="F214" t="s">
        <v>35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27</v>
      </c>
      <c r="N214">
        <v>461.8</v>
      </c>
      <c r="O214">
        <v>4.7619047620000003</v>
      </c>
      <c r="P214">
        <v>23.09</v>
      </c>
      <c r="Q214">
        <v>4.9000000000000004</v>
      </c>
      <c r="R214" s="3">
        <f t="shared" si="12"/>
        <v>461.8</v>
      </c>
      <c r="S214" t="str">
        <f t="shared" si="13"/>
        <v>March</v>
      </c>
      <c r="T214">
        <f t="shared" si="14"/>
        <v>3</v>
      </c>
      <c r="U214" t="str">
        <f t="shared" si="15"/>
        <v>Wednesday</v>
      </c>
    </row>
    <row r="215" spans="1:21" x14ac:dyDescent="0.2">
      <c r="A215" t="s">
        <v>253</v>
      </c>
      <c r="B215" t="s">
        <v>45</v>
      </c>
      <c r="C215" t="s">
        <v>46</v>
      </c>
      <c r="D215" t="s">
        <v>31</v>
      </c>
      <c r="E215" t="s">
        <v>181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3">
        <f t="shared" si="12"/>
        <v>139.26</v>
      </c>
      <c r="S215" t="str">
        <f t="shared" si="13"/>
        <v>April</v>
      </c>
      <c r="T215">
        <f t="shared" si="14"/>
        <v>4</v>
      </c>
      <c r="U215" t="str">
        <f t="shared" si="15"/>
        <v>Monday</v>
      </c>
    </row>
    <row r="216" spans="1:21" x14ac:dyDescent="0.2">
      <c r="A216" t="s">
        <v>254</v>
      </c>
      <c r="B216" t="s">
        <v>45</v>
      </c>
      <c r="C216" t="s">
        <v>46</v>
      </c>
      <c r="D216" t="s">
        <v>24</v>
      </c>
      <c r="E216" t="s">
        <v>25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33</v>
      </c>
      <c r="N216">
        <v>207.27</v>
      </c>
      <c r="O216">
        <v>4.7619047620000003</v>
      </c>
      <c r="P216">
        <v>10.3635</v>
      </c>
      <c r="Q216">
        <v>6.5</v>
      </c>
      <c r="R216" s="3">
        <f t="shared" si="12"/>
        <v>207.26999999999998</v>
      </c>
      <c r="S216" t="str">
        <f t="shared" si="13"/>
        <v>November</v>
      </c>
      <c r="T216">
        <f t="shared" si="14"/>
        <v>11</v>
      </c>
      <c r="U216" t="str">
        <f t="shared" si="15"/>
        <v>Sunday</v>
      </c>
    </row>
    <row r="217" spans="1:21" x14ac:dyDescent="0.2">
      <c r="A217" t="s">
        <v>255</v>
      </c>
      <c r="B217" t="s">
        <v>22</v>
      </c>
      <c r="C217" t="s">
        <v>23</v>
      </c>
      <c r="D217" t="s">
        <v>31</v>
      </c>
      <c r="E217" t="s">
        <v>181</v>
      </c>
      <c r="F217" t="s">
        <v>35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3">
        <f t="shared" si="12"/>
        <v>18.28</v>
      </c>
      <c r="S217" t="str">
        <f t="shared" si="13"/>
        <v>March</v>
      </c>
      <c r="T217">
        <f t="shared" si="14"/>
        <v>3</v>
      </c>
      <c r="U217" t="str">
        <f t="shared" si="15"/>
        <v>Friday</v>
      </c>
    </row>
    <row r="218" spans="1:21" x14ac:dyDescent="0.2">
      <c r="A218" t="s">
        <v>256</v>
      </c>
      <c r="B218" t="s">
        <v>45</v>
      </c>
      <c r="C218" t="s">
        <v>46</v>
      </c>
      <c r="D218" t="s">
        <v>31</v>
      </c>
      <c r="E218" t="s">
        <v>25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33</v>
      </c>
      <c r="N218">
        <v>123.85</v>
      </c>
      <c r="O218">
        <v>4.7619047620000003</v>
      </c>
      <c r="P218">
        <v>6.1924999999999999</v>
      </c>
      <c r="Q218">
        <v>8.5</v>
      </c>
      <c r="R218" s="3">
        <f t="shared" si="12"/>
        <v>123.85</v>
      </c>
      <c r="S218" t="str">
        <f t="shared" si="13"/>
        <v>March</v>
      </c>
      <c r="T218">
        <f t="shared" si="14"/>
        <v>3</v>
      </c>
      <c r="U218" t="str">
        <f t="shared" si="15"/>
        <v>Sunday</v>
      </c>
    </row>
    <row r="219" spans="1:21" x14ac:dyDescent="0.2">
      <c r="A219" t="s">
        <v>257</v>
      </c>
      <c r="B219" t="s">
        <v>22</v>
      </c>
      <c r="C219" t="s">
        <v>23</v>
      </c>
      <c r="D219" t="s">
        <v>24</v>
      </c>
      <c r="E219" t="s">
        <v>25</v>
      </c>
      <c r="F219" t="s">
        <v>32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33</v>
      </c>
      <c r="N219">
        <v>283.92</v>
      </c>
      <c r="O219">
        <v>4.7619047620000003</v>
      </c>
      <c r="P219">
        <v>14.196</v>
      </c>
      <c r="Q219">
        <v>5.5</v>
      </c>
      <c r="R219" s="3">
        <f t="shared" si="12"/>
        <v>283.92</v>
      </c>
      <c r="S219" t="str">
        <f t="shared" si="13"/>
        <v>February</v>
      </c>
      <c r="T219">
        <f t="shared" si="14"/>
        <v>2</v>
      </c>
      <c r="U219" t="str">
        <f t="shared" si="15"/>
        <v>Thursday</v>
      </c>
    </row>
    <row r="220" spans="1:21" x14ac:dyDescent="0.2">
      <c r="A220" t="s">
        <v>258</v>
      </c>
      <c r="B220" t="s">
        <v>45</v>
      </c>
      <c r="C220" t="s">
        <v>46</v>
      </c>
      <c r="D220" t="s">
        <v>31</v>
      </c>
      <c r="E220" t="s">
        <v>181</v>
      </c>
      <c r="F220" t="s">
        <v>49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27</v>
      </c>
      <c r="N220">
        <v>758.96</v>
      </c>
      <c r="O220">
        <v>4.7619047620000003</v>
      </c>
      <c r="P220">
        <v>37.948</v>
      </c>
      <c r="Q220">
        <v>8.6999999999999993</v>
      </c>
      <c r="R220" s="3">
        <f t="shared" si="12"/>
        <v>758.96</v>
      </c>
      <c r="S220" t="str">
        <f t="shared" si="13"/>
        <v>December</v>
      </c>
      <c r="T220">
        <f t="shared" si="14"/>
        <v>12</v>
      </c>
      <c r="U220" t="str">
        <f t="shared" si="15"/>
        <v>Monday</v>
      </c>
    </row>
    <row r="221" spans="1:21" x14ac:dyDescent="0.2">
      <c r="A221" t="s">
        <v>259</v>
      </c>
      <c r="B221" t="s">
        <v>45</v>
      </c>
      <c r="C221" t="s">
        <v>46</v>
      </c>
      <c r="D221" t="s">
        <v>31</v>
      </c>
      <c r="E221" t="s">
        <v>25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  <c r="R221" s="3">
        <f t="shared" si="12"/>
        <v>172.02</v>
      </c>
      <c r="S221" t="str">
        <f t="shared" si="13"/>
        <v>October</v>
      </c>
      <c r="T221">
        <f t="shared" si="14"/>
        <v>10</v>
      </c>
      <c r="U221" t="str">
        <f t="shared" si="15"/>
        <v>Thursday</v>
      </c>
    </row>
    <row r="222" spans="1:21" x14ac:dyDescent="0.2">
      <c r="A222" t="s">
        <v>260</v>
      </c>
      <c r="B222" t="s">
        <v>45</v>
      </c>
      <c r="C222" t="s">
        <v>46</v>
      </c>
      <c r="D222" t="s">
        <v>31</v>
      </c>
      <c r="E222" t="s">
        <v>181</v>
      </c>
      <c r="F222" t="s">
        <v>32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27</v>
      </c>
      <c r="N222">
        <v>272.10000000000002</v>
      </c>
      <c r="O222">
        <v>4.7619047620000003</v>
      </c>
      <c r="P222">
        <v>13.605</v>
      </c>
      <c r="Q222">
        <v>6.1</v>
      </c>
      <c r="R222" s="3">
        <f t="shared" si="12"/>
        <v>272.10000000000002</v>
      </c>
      <c r="S222" t="str">
        <f t="shared" si="13"/>
        <v>January</v>
      </c>
      <c r="T222">
        <f t="shared" si="14"/>
        <v>1</v>
      </c>
      <c r="U222" t="str">
        <f t="shared" si="15"/>
        <v>Thursday</v>
      </c>
    </row>
    <row r="223" spans="1:21" x14ac:dyDescent="0.2">
      <c r="A223" t="s">
        <v>261</v>
      </c>
      <c r="B223" t="s">
        <v>45</v>
      </c>
      <c r="C223" t="s">
        <v>46</v>
      </c>
      <c r="D223" t="s">
        <v>31</v>
      </c>
      <c r="E223" t="s">
        <v>181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27</v>
      </c>
      <c r="N223">
        <v>434.56</v>
      </c>
      <c r="O223">
        <v>4.7619047620000003</v>
      </c>
      <c r="P223">
        <v>21.728000000000002</v>
      </c>
      <c r="Q223">
        <v>5.4</v>
      </c>
      <c r="R223" s="3">
        <f t="shared" si="12"/>
        <v>434.56</v>
      </c>
      <c r="S223" t="str">
        <f t="shared" si="13"/>
        <v>June</v>
      </c>
      <c r="T223">
        <f t="shared" si="14"/>
        <v>6</v>
      </c>
      <c r="U223" t="str">
        <f t="shared" si="15"/>
        <v>Monday</v>
      </c>
    </row>
    <row r="224" spans="1:21" x14ac:dyDescent="0.2">
      <c r="A224" t="s">
        <v>262</v>
      </c>
      <c r="B224" t="s">
        <v>29</v>
      </c>
      <c r="C224" t="s">
        <v>30</v>
      </c>
      <c r="D224" t="s">
        <v>31</v>
      </c>
      <c r="E224" t="s">
        <v>181</v>
      </c>
      <c r="F224" t="s">
        <v>32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33</v>
      </c>
      <c r="N224">
        <v>59.05</v>
      </c>
      <c r="O224">
        <v>4.7619047620000003</v>
      </c>
      <c r="P224">
        <v>2.9525000000000001</v>
      </c>
      <c r="Q224">
        <v>9.4</v>
      </c>
      <c r="R224" s="3">
        <f t="shared" si="12"/>
        <v>59.050000000000004</v>
      </c>
      <c r="S224" t="str">
        <f t="shared" si="13"/>
        <v>February</v>
      </c>
      <c r="T224">
        <f t="shared" si="14"/>
        <v>2</v>
      </c>
      <c r="U224" t="str">
        <f t="shared" si="15"/>
        <v>Sunday</v>
      </c>
    </row>
    <row r="225" spans="1:21" x14ac:dyDescent="0.2">
      <c r="A225" t="s">
        <v>263</v>
      </c>
      <c r="B225" t="s">
        <v>29</v>
      </c>
      <c r="C225" t="s">
        <v>30</v>
      </c>
      <c r="D225" t="s">
        <v>24</v>
      </c>
      <c r="E225" t="s">
        <v>25</v>
      </c>
      <c r="F225" t="s">
        <v>49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33</v>
      </c>
      <c r="N225">
        <v>12.54</v>
      </c>
      <c r="O225">
        <v>4.7619047620000003</v>
      </c>
      <c r="P225">
        <v>0.627</v>
      </c>
      <c r="Q225">
        <v>8.1999999999999993</v>
      </c>
      <c r="R225" s="3">
        <f t="shared" si="12"/>
        <v>12.54</v>
      </c>
      <c r="S225" t="str">
        <f t="shared" si="13"/>
        <v>February</v>
      </c>
      <c r="T225">
        <f t="shared" si="14"/>
        <v>2</v>
      </c>
      <c r="U225" t="str">
        <f t="shared" si="15"/>
        <v>Thursday</v>
      </c>
    </row>
    <row r="226" spans="1:21" x14ac:dyDescent="0.2">
      <c r="A226" t="s">
        <v>264</v>
      </c>
      <c r="B226" t="s">
        <v>22</v>
      </c>
      <c r="C226" t="s">
        <v>23</v>
      </c>
      <c r="D226" t="s">
        <v>31</v>
      </c>
      <c r="E226" t="s">
        <v>181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33</v>
      </c>
      <c r="N226">
        <v>86.5</v>
      </c>
      <c r="O226">
        <v>4.7619047620000003</v>
      </c>
      <c r="P226">
        <v>4.3250000000000002</v>
      </c>
      <c r="Q226">
        <v>6.2</v>
      </c>
      <c r="R226" s="3">
        <f t="shared" si="12"/>
        <v>86.5</v>
      </c>
      <c r="S226" t="str">
        <f t="shared" si="13"/>
        <v>March</v>
      </c>
      <c r="T226">
        <f t="shared" si="14"/>
        <v>3</v>
      </c>
      <c r="U226" t="str">
        <f t="shared" si="15"/>
        <v>Wednesday</v>
      </c>
    </row>
    <row r="227" spans="1:21" x14ac:dyDescent="0.2">
      <c r="A227" t="s">
        <v>265</v>
      </c>
      <c r="B227" t="s">
        <v>29</v>
      </c>
      <c r="C227" t="s">
        <v>30</v>
      </c>
      <c r="D227" t="s">
        <v>24</v>
      </c>
      <c r="E227" t="s">
        <v>25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3">
        <f t="shared" si="12"/>
        <v>174.32</v>
      </c>
      <c r="S227" t="str">
        <f t="shared" si="13"/>
        <v>November</v>
      </c>
      <c r="T227">
        <f t="shared" si="14"/>
        <v>11</v>
      </c>
      <c r="U227" t="str">
        <f t="shared" si="15"/>
        <v>Friday</v>
      </c>
    </row>
    <row r="228" spans="1:21" x14ac:dyDescent="0.2">
      <c r="A228" t="s">
        <v>266</v>
      </c>
      <c r="B228" t="s">
        <v>45</v>
      </c>
      <c r="C228" t="s">
        <v>46</v>
      </c>
      <c r="D228" t="s">
        <v>24</v>
      </c>
      <c r="E228" t="s">
        <v>181</v>
      </c>
      <c r="F228" t="s">
        <v>26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27</v>
      </c>
      <c r="N228">
        <v>624.33000000000004</v>
      </c>
      <c r="O228">
        <v>4.7619047620000003</v>
      </c>
      <c r="P228">
        <v>31.2165</v>
      </c>
      <c r="Q228">
        <v>4</v>
      </c>
      <c r="R228" s="3">
        <f t="shared" si="12"/>
        <v>624.33000000000004</v>
      </c>
      <c r="S228" t="str">
        <f t="shared" si="13"/>
        <v>January</v>
      </c>
      <c r="T228">
        <f t="shared" si="14"/>
        <v>1</v>
      </c>
      <c r="U228" t="str">
        <f t="shared" si="15"/>
        <v>Saturday</v>
      </c>
    </row>
    <row r="229" spans="1:21" x14ac:dyDescent="0.2">
      <c r="A229" t="s">
        <v>267</v>
      </c>
      <c r="B229" t="s">
        <v>29</v>
      </c>
      <c r="C229" t="s">
        <v>30</v>
      </c>
      <c r="D229" t="s">
        <v>24</v>
      </c>
      <c r="E229" t="s">
        <v>181</v>
      </c>
      <c r="F229" t="s">
        <v>32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27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3">
        <f t="shared" si="12"/>
        <v>148.24</v>
      </c>
      <c r="S229" t="str">
        <f t="shared" si="13"/>
        <v>January</v>
      </c>
      <c r="T229">
        <f t="shared" si="14"/>
        <v>1</v>
      </c>
      <c r="U229" t="str">
        <f t="shared" si="15"/>
        <v>Thursday</v>
      </c>
    </row>
    <row r="230" spans="1:21" x14ac:dyDescent="0.2">
      <c r="A230" t="s">
        <v>268</v>
      </c>
      <c r="B230" t="s">
        <v>45</v>
      </c>
      <c r="C230" t="s">
        <v>46</v>
      </c>
      <c r="D230" t="s">
        <v>24</v>
      </c>
      <c r="E230" t="s">
        <v>25</v>
      </c>
      <c r="F230" t="s">
        <v>32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33</v>
      </c>
      <c r="N230">
        <v>544.20000000000005</v>
      </c>
      <c r="O230">
        <v>4.7619047620000003</v>
      </c>
      <c r="P230">
        <v>27.21</v>
      </c>
      <c r="Q230">
        <v>5.3</v>
      </c>
      <c r="R230" s="3">
        <f t="shared" si="12"/>
        <v>544.20000000000005</v>
      </c>
      <c r="S230" t="str">
        <f t="shared" si="13"/>
        <v>February</v>
      </c>
      <c r="T230">
        <f t="shared" si="14"/>
        <v>2</v>
      </c>
      <c r="U230" t="str">
        <f t="shared" si="15"/>
        <v>Tuesday</v>
      </c>
    </row>
    <row r="231" spans="1:21" x14ac:dyDescent="0.2">
      <c r="A231" t="s">
        <v>269</v>
      </c>
      <c r="B231" t="s">
        <v>22</v>
      </c>
      <c r="C231" t="s">
        <v>23</v>
      </c>
      <c r="D231" t="s">
        <v>31</v>
      </c>
      <c r="E231" t="s">
        <v>25</v>
      </c>
      <c r="F231" t="s">
        <v>35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27</v>
      </c>
      <c r="N231">
        <v>507.36</v>
      </c>
      <c r="O231">
        <v>4.7619047620000003</v>
      </c>
      <c r="P231">
        <v>25.367999999999999</v>
      </c>
      <c r="Q231">
        <v>7.4</v>
      </c>
      <c r="R231" s="3">
        <f t="shared" si="12"/>
        <v>507.36</v>
      </c>
      <c r="S231" t="str">
        <f t="shared" si="13"/>
        <v>November</v>
      </c>
      <c r="T231">
        <f t="shared" si="14"/>
        <v>11</v>
      </c>
      <c r="U231" t="str">
        <f t="shared" si="15"/>
        <v>Sunday</v>
      </c>
    </row>
    <row r="232" spans="1:21" x14ac:dyDescent="0.2">
      <c r="A232" t="s">
        <v>270</v>
      </c>
      <c r="B232" t="s">
        <v>45</v>
      </c>
      <c r="C232" t="s">
        <v>46</v>
      </c>
      <c r="D232" t="s">
        <v>31</v>
      </c>
      <c r="E232" t="s">
        <v>25</v>
      </c>
      <c r="F232" t="s">
        <v>49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33</v>
      </c>
      <c r="N232">
        <v>162.74</v>
      </c>
      <c r="O232">
        <v>4.7619047620000003</v>
      </c>
      <c r="P232">
        <v>8.1370000000000005</v>
      </c>
      <c r="Q232">
        <v>6.5</v>
      </c>
      <c r="R232" s="3">
        <f t="shared" si="12"/>
        <v>162.74</v>
      </c>
      <c r="S232" t="str">
        <f t="shared" si="13"/>
        <v>January</v>
      </c>
      <c r="T232">
        <f t="shared" si="14"/>
        <v>1</v>
      </c>
      <c r="U232" t="str">
        <f t="shared" si="15"/>
        <v>Saturday</v>
      </c>
    </row>
    <row r="233" spans="1:21" x14ac:dyDescent="0.2">
      <c r="A233" t="s">
        <v>271</v>
      </c>
      <c r="B233" t="s">
        <v>45</v>
      </c>
      <c r="C233" t="s">
        <v>46</v>
      </c>
      <c r="D233" t="s">
        <v>24</v>
      </c>
      <c r="E233" t="s">
        <v>25</v>
      </c>
      <c r="F233" t="s">
        <v>32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  <c r="R233" s="3">
        <f t="shared" si="12"/>
        <v>31.77</v>
      </c>
      <c r="S233" t="str">
        <f t="shared" si="13"/>
        <v>December</v>
      </c>
      <c r="T233">
        <f t="shared" si="14"/>
        <v>12</v>
      </c>
      <c r="U233" t="str">
        <f t="shared" si="15"/>
        <v>Tuesday</v>
      </c>
    </row>
    <row r="234" spans="1:21" x14ac:dyDescent="0.2">
      <c r="A234" t="s">
        <v>272</v>
      </c>
      <c r="B234" t="s">
        <v>45</v>
      </c>
      <c r="C234" t="s">
        <v>46</v>
      </c>
      <c r="D234" t="s">
        <v>31</v>
      </c>
      <c r="E234" t="s">
        <v>25</v>
      </c>
      <c r="F234" t="s">
        <v>26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33</v>
      </c>
      <c r="N234">
        <v>756.81</v>
      </c>
      <c r="O234">
        <v>4.7619047620000003</v>
      </c>
      <c r="P234">
        <v>37.840499999999999</v>
      </c>
      <c r="Q234">
        <v>8</v>
      </c>
      <c r="R234" s="3">
        <f t="shared" si="12"/>
        <v>756.81000000000006</v>
      </c>
      <c r="S234" t="str">
        <f t="shared" si="13"/>
        <v>November</v>
      </c>
      <c r="T234">
        <f t="shared" si="14"/>
        <v>11</v>
      </c>
      <c r="U234" t="str">
        <f t="shared" si="15"/>
        <v>Saturday</v>
      </c>
    </row>
    <row r="235" spans="1:21" x14ac:dyDescent="0.2">
      <c r="A235" t="s">
        <v>273</v>
      </c>
      <c r="B235" t="s">
        <v>45</v>
      </c>
      <c r="C235" t="s">
        <v>46</v>
      </c>
      <c r="D235" t="s">
        <v>24</v>
      </c>
      <c r="E235" t="s">
        <v>181</v>
      </c>
      <c r="F235" t="s">
        <v>49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33</v>
      </c>
      <c r="N235">
        <v>295.27999999999997</v>
      </c>
      <c r="O235">
        <v>4.7619047620000003</v>
      </c>
      <c r="P235">
        <v>14.763999999999999</v>
      </c>
      <c r="Q235">
        <v>6.7</v>
      </c>
      <c r="R235" s="3">
        <f t="shared" si="12"/>
        <v>295.27999999999997</v>
      </c>
      <c r="S235" t="str">
        <f t="shared" si="13"/>
        <v>February</v>
      </c>
      <c r="T235">
        <f t="shared" si="14"/>
        <v>2</v>
      </c>
      <c r="U235" t="str">
        <f t="shared" si="15"/>
        <v>Thursday</v>
      </c>
    </row>
    <row r="236" spans="1:21" x14ac:dyDescent="0.2">
      <c r="A236" t="s">
        <v>274</v>
      </c>
      <c r="B236" t="s">
        <v>22</v>
      </c>
      <c r="C236" t="s">
        <v>23</v>
      </c>
      <c r="D236" t="s">
        <v>24</v>
      </c>
      <c r="E236" t="s">
        <v>181</v>
      </c>
      <c r="F236" t="s">
        <v>26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27</v>
      </c>
      <c r="N236">
        <v>519.4</v>
      </c>
      <c r="O236">
        <v>4.7619047620000003</v>
      </c>
      <c r="P236">
        <v>25.97</v>
      </c>
      <c r="Q236">
        <v>6.5</v>
      </c>
      <c r="R236" s="3">
        <f t="shared" si="12"/>
        <v>519.4</v>
      </c>
      <c r="S236" t="str">
        <f t="shared" si="13"/>
        <v>September</v>
      </c>
      <c r="T236">
        <f t="shared" si="14"/>
        <v>9</v>
      </c>
      <c r="U236" t="str">
        <f t="shared" si="15"/>
        <v>Tuesday</v>
      </c>
    </row>
    <row r="237" spans="1:21" x14ac:dyDescent="0.2">
      <c r="A237" t="s">
        <v>275</v>
      </c>
      <c r="B237" t="s">
        <v>22</v>
      </c>
      <c r="C237" t="s">
        <v>23</v>
      </c>
      <c r="D237" t="s">
        <v>31</v>
      </c>
      <c r="E237" t="s">
        <v>25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27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3">
        <f t="shared" si="12"/>
        <v>186.28</v>
      </c>
      <c r="S237" t="str">
        <f t="shared" si="13"/>
        <v>January</v>
      </c>
      <c r="T237">
        <f t="shared" si="14"/>
        <v>1</v>
      </c>
      <c r="U237" t="str">
        <f t="shared" si="15"/>
        <v>Sunday</v>
      </c>
    </row>
    <row r="238" spans="1:21" x14ac:dyDescent="0.2">
      <c r="A238" t="s">
        <v>276</v>
      </c>
      <c r="B238" t="s">
        <v>29</v>
      </c>
      <c r="C238" t="s">
        <v>30</v>
      </c>
      <c r="D238" t="s">
        <v>31</v>
      </c>
      <c r="E238" t="s">
        <v>181</v>
      </c>
      <c r="F238" t="s">
        <v>26</v>
      </c>
      <c r="G238">
        <v>17.41</v>
      </c>
      <c r="H238">
        <v>5</v>
      </c>
      <c r="I238">
        <v>4.3525</v>
      </c>
      <c r="J238">
        <v>91.402500000000003</v>
      </c>
      <c r="K238" s="1">
        <v>43524</v>
      </c>
      <c r="L238" s="2">
        <v>0.63611111111111107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  <c r="R238" s="3">
        <f t="shared" si="12"/>
        <v>87.05</v>
      </c>
      <c r="S238" t="str">
        <f t="shared" si="13"/>
        <v>February</v>
      </c>
      <c r="T238">
        <f t="shared" si="14"/>
        <v>2</v>
      </c>
      <c r="U238" t="str">
        <f t="shared" si="15"/>
        <v>Thursday</v>
      </c>
    </row>
    <row r="239" spans="1:21" x14ac:dyDescent="0.2">
      <c r="A239" t="s">
        <v>277</v>
      </c>
      <c r="B239" t="s">
        <v>29</v>
      </c>
      <c r="C239" t="s">
        <v>30</v>
      </c>
      <c r="D239" t="s">
        <v>24</v>
      </c>
      <c r="E239" t="s">
        <v>25</v>
      </c>
      <c r="F239" t="s">
        <v>49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  <c r="R239" s="3">
        <f t="shared" si="12"/>
        <v>221.1</v>
      </c>
      <c r="S239" t="str">
        <f t="shared" si="13"/>
        <v>May</v>
      </c>
      <c r="T239">
        <f t="shared" si="14"/>
        <v>5</v>
      </c>
      <c r="U239" t="str">
        <f t="shared" si="15"/>
        <v>Friday</v>
      </c>
    </row>
    <row r="240" spans="1:21" x14ac:dyDescent="0.2">
      <c r="A240" t="s">
        <v>278</v>
      </c>
      <c r="B240" t="s">
        <v>45</v>
      </c>
      <c r="C240" t="s">
        <v>46</v>
      </c>
      <c r="D240" t="s">
        <v>24</v>
      </c>
      <c r="E240" t="s">
        <v>25</v>
      </c>
      <c r="F240" t="s">
        <v>32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33</v>
      </c>
      <c r="N240">
        <v>66.099999999999994</v>
      </c>
      <c r="O240">
        <v>4.7619047620000003</v>
      </c>
      <c r="P240">
        <v>3.3050000000000002</v>
      </c>
      <c r="Q240">
        <v>4.3</v>
      </c>
      <c r="R240" s="3">
        <f t="shared" si="12"/>
        <v>66.100000000000009</v>
      </c>
      <c r="S240" t="str">
        <f t="shared" si="13"/>
        <v>February</v>
      </c>
      <c r="T240">
        <f t="shared" si="14"/>
        <v>2</v>
      </c>
      <c r="U240" t="str">
        <f t="shared" si="15"/>
        <v>Sunday</v>
      </c>
    </row>
    <row r="241" spans="1:21" x14ac:dyDescent="0.2">
      <c r="A241" t="s">
        <v>279</v>
      </c>
      <c r="B241" t="s">
        <v>22</v>
      </c>
      <c r="C241" t="s">
        <v>23</v>
      </c>
      <c r="D241" t="s">
        <v>31</v>
      </c>
      <c r="E241" t="s">
        <v>181</v>
      </c>
      <c r="F241" t="s">
        <v>49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27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3">
        <f t="shared" si="12"/>
        <v>89.69</v>
      </c>
      <c r="S241" t="str">
        <f t="shared" si="13"/>
        <v>November</v>
      </c>
      <c r="T241">
        <f t="shared" si="14"/>
        <v>11</v>
      </c>
      <c r="U241" t="str">
        <f t="shared" si="15"/>
        <v>Friday</v>
      </c>
    </row>
    <row r="242" spans="1:21" x14ac:dyDescent="0.2">
      <c r="A242" t="s">
        <v>280</v>
      </c>
      <c r="B242" t="s">
        <v>22</v>
      </c>
      <c r="C242" t="s">
        <v>23</v>
      </c>
      <c r="D242" t="s">
        <v>31</v>
      </c>
      <c r="E242" t="s">
        <v>181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  <c r="R242" s="3">
        <f t="shared" si="12"/>
        <v>224.46</v>
      </c>
      <c r="S242" t="str">
        <f t="shared" si="13"/>
        <v>November</v>
      </c>
      <c r="T242">
        <f t="shared" si="14"/>
        <v>11</v>
      </c>
      <c r="U242" t="str">
        <f t="shared" si="15"/>
        <v>Friday</v>
      </c>
    </row>
    <row r="243" spans="1:21" x14ac:dyDescent="0.2">
      <c r="A243" t="s">
        <v>281</v>
      </c>
      <c r="B243" t="s">
        <v>22</v>
      </c>
      <c r="C243" t="s">
        <v>23</v>
      </c>
      <c r="D243" t="s">
        <v>31</v>
      </c>
      <c r="E243" t="s">
        <v>181</v>
      </c>
      <c r="F243" t="s">
        <v>26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  <c r="R243" s="3">
        <f t="shared" si="12"/>
        <v>119.54</v>
      </c>
      <c r="S243" t="str">
        <f t="shared" si="13"/>
        <v>November</v>
      </c>
      <c r="T243">
        <f t="shared" si="14"/>
        <v>11</v>
      </c>
      <c r="U243" t="str">
        <f t="shared" si="15"/>
        <v>Sunday</v>
      </c>
    </row>
    <row r="244" spans="1:21" x14ac:dyDescent="0.2">
      <c r="A244" t="s">
        <v>282</v>
      </c>
      <c r="B244" t="s">
        <v>29</v>
      </c>
      <c r="C244" t="s">
        <v>30</v>
      </c>
      <c r="D244" t="s">
        <v>24</v>
      </c>
      <c r="E244" t="s">
        <v>181</v>
      </c>
      <c r="F244" t="s">
        <v>49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  <c r="R244" s="3">
        <f t="shared" si="12"/>
        <v>186.4</v>
      </c>
      <c r="S244" t="str">
        <f t="shared" si="13"/>
        <v>February</v>
      </c>
      <c r="T244">
        <f t="shared" si="14"/>
        <v>2</v>
      </c>
      <c r="U244" t="str">
        <f t="shared" si="15"/>
        <v>Thursday</v>
      </c>
    </row>
    <row r="245" spans="1:21" x14ac:dyDescent="0.2">
      <c r="A245" t="s">
        <v>283</v>
      </c>
      <c r="B245" t="s">
        <v>22</v>
      </c>
      <c r="C245" t="s">
        <v>23</v>
      </c>
      <c r="D245" t="s">
        <v>24</v>
      </c>
      <c r="E245" t="s">
        <v>181</v>
      </c>
      <c r="F245" t="s">
        <v>35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33</v>
      </c>
      <c r="N245">
        <v>250.6</v>
      </c>
      <c r="O245">
        <v>4.7619047620000003</v>
      </c>
      <c r="P245">
        <v>12.53</v>
      </c>
      <c r="Q245">
        <v>4.2</v>
      </c>
      <c r="R245" s="3">
        <f t="shared" si="12"/>
        <v>250.6</v>
      </c>
      <c r="S245" t="str">
        <f t="shared" si="13"/>
        <v>May</v>
      </c>
      <c r="T245">
        <f t="shared" si="14"/>
        <v>5</v>
      </c>
      <c r="U245" t="str">
        <f t="shared" si="15"/>
        <v>Wednesday</v>
      </c>
    </row>
    <row r="246" spans="1:21" x14ac:dyDescent="0.2">
      <c r="A246" t="s">
        <v>284</v>
      </c>
      <c r="B246" t="s">
        <v>45</v>
      </c>
      <c r="C246" t="s">
        <v>46</v>
      </c>
      <c r="D246" t="s">
        <v>31</v>
      </c>
      <c r="E246" t="s">
        <v>181</v>
      </c>
      <c r="F246" t="s">
        <v>35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3">
        <f t="shared" si="12"/>
        <v>750.96</v>
      </c>
      <c r="S246" t="str">
        <f t="shared" si="13"/>
        <v>February</v>
      </c>
      <c r="T246">
        <f t="shared" si="14"/>
        <v>2</v>
      </c>
      <c r="U246" t="str">
        <f t="shared" si="15"/>
        <v>Saturday</v>
      </c>
    </row>
    <row r="247" spans="1:21" x14ac:dyDescent="0.2">
      <c r="A247" t="s">
        <v>285</v>
      </c>
      <c r="B247" t="s">
        <v>22</v>
      </c>
      <c r="C247" t="s">
        <v>23</v>
      </c>
      <c r="D247" t="s">
        <v>24</v>
      </c>
      <c r="E247" t="s">
        <v>181</v>
      </c>
      <c r="F247" t="s">
        <v>35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33</v>
      </c>
      <c r="N247">
        <v>380.72</v>
      </c>
      <c r="O247">
        <v>4.7619047620000003</v>
      </c>
      <c r="P247">
        <v>19.036000000000001</v>
      </c>
      <c r="Q247">
        <v>5.7</v>
      </c>
      <c r="R247" s="3">
        <f t="shared" si="12"/>
        <v>380.72</v>
      </c>
      <c r="S247" t="str">
        <f t="shared" si="13"/>
        <v>January</v>
      </c>
      <c r="T247">
        <f t="shared" si="14"/>
        <v>1</v>
      </c>
      <c r="U247" t="str">
        <f t="shared" si="15"/>
        <v>Tuesday</v>
      </c>
    </row>
    <row r="248" spans="1:21" x14ac:dyDescent="0.2">
      <c r="A248" t="s">
        <v>286</v>
      </c>
      <c r="B248" t="s">
        <v>45</v>
      </c>
      <c r="C248" t="s">
        <v>46</v>
      </c>
      <c r="D248" t="s">
        <v>24</v>
      </c>
      <c r="E248" t="s">
        <v>25</v>
      </c>
      <c r="F248" t="s">
        <v>32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33</v>
      </c>
      <c r="N248">
        <v>244.2</v>
      </c>
      <c r="O248">
        <v>4.7619047620000003</v>
      </c>
      <c r="P248">
        <v>12.21</v>
      </c>
      <c r="Q248">
        <v>4.8</v>
      </c>
      <c r="R248" s="3">
        <f t="shared" si="12"/>
        <v>244.20000000000002</v>
      </c>
      <c r="S248" t="str">
        <f t="shared" si="13"/>
        <v>September</v>
      </c>
      <c r="T248">
        <f t="shared" si="14"/>
        <v>9</v>
      </c>
      <c r="U248" t="str">
        <f t="shared" si="15"/>
        <v>Monday</v>
      </c>
    </row>
    <row r="249" spans="1:21" x14ac:dyDescent="0.2">
      <c r="A249" t="s">
        <v>287</v>
      </c>
      <c r="B249" t="s">
        <v>22</v>
      </c>
      <c r="C249" t="s">
        <v>23</v>
      </c>
      <c r="D249" t="s">
        <v>24</v>
      </c>
      <c r="E249" t="s">
        <v>181</v>
      </c>
      <c r="F249" t="s">
        <v>49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27</v>
      </c>
      <c r="N249">
        <v>89.7</v>
      </c>
      <c r="O249">
        <v>4.7619047620000003</v>
      </c>
      <c r="P249">
        <v>4.4850000000000003</v>
      </c>
      <c r="Q249">
        <v>6.8</v>
      </c>
      <c r="R249" s="3">
        <f t="shared" si="12"/>
        <v>89.7</v>
      </c>
      <c r="S249" t="str">
        <f t="shared" si="13"/>
        <v>January</v>
      </c>
      <c r="T249">
        <f t="shared" si="14"/>
        <v>1</v>
      </c>
      <c r="U249" t="str">
        <f t="shared" si="15"/>
        <v>Wednesday</v>
      </c>
    </row>
    <row r="250" spans="1:21" x14ac:dyDescent="0.2">
      <c r="A250" t="s">
        <v>288</v>
      </c>
      <c r="B250" t="s">
        <v>22</v>
      </c>
      <c r="C250" t="s">
        <v>23</v>
      </c>
      <c r="D250" t="s">
        <v>24</v>
      </c>
      <c r="E250" t="s">
        <v>181</v>
      </c>
      <c r="F250" t="s">
        <v>32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  <c r="R250" s="3">
        <f t="shared" si="12"/>
        <v>310.88</v>
      </c>
      <c r="S250" t="str">
        <f t="shared" si="13"/>
        <v>July</v>
      </c>
      <c r="T250">
        <f t="shared" si="14"/>
        <v>7</v>
      </c>
      <c r="U250" t="str">
        <f t="shared" si="15"/>
        <v>Monday</v>
      </c>
    </row>
    <row r="251" spans="1:21" x14ac:dyDescent="0.2">
      <c r="A251" t="s">
        <v>289</v>
      </c>
      <c r="B251" t="s">
        <v>45</v>
      </c>
      <c r="C251" t="s">
        <v>46</v>
      </c>
      <c r="D251" t="s">
        <v>31</v>
      </c>
      <c r="E251" t="s">
        <v>181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  <c r="R251" s="3">
        <f t="shared" si="12"/>
        <v>511.42</v>
      </c>
      <c r="S251" t="str">
        <f t="shared" si="13"/>
        <v>January</v>
      </c>
      <c r="T251">
        <f t="shared" si="14"/>
        <v>1</v>
      </c>
      <c r="U251" t="str">
        <f t="shared" si="15"/>
        <v>Monday</v>
      </c>
    </row>
    <row r="252" spans="1:21" x14ac:dyDescent="0.2">
      <c r="A252" t="s">
        <v>290</v>
      </c>
      <c r="B252" t="s">
        <v>45</v>
      </c>
      <c r="C252" t="s">
        <v>46</v>
      </c>
      <c r="D252" t="s">
        <v>24</v>
      </c>
      <c r="E252" t="s">
        <v>181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27</v>
      </c>
      <c r="N252">
        <v>418.95</v>
      </c>
      <c r="O252">
        <v>4.7619047620000003</v>
      </c>
      <c r="P252">
        <v>20.947500000000002</v>
      </c>
      <c r="Q252">
        <v>6.4</v>
      </c>
      <c r="R252" s="3">
        <f t="shared" si="12"/>
        <v>418.95</v>
      </c>
      <c r="S252" t="str">
        <f t="shared" si="13"/>
        <v>February</v>
      </c>
      <c r="T252">
        <f t="shared" si="14"/>
        <v>2</v>
      </c>
      <c r="U252" t="str">
        <f t="shared" si="15"/>
        <v>Saturday</v>
      </c>
    </row>
    <row r="253" spans="1:21" x14ac:dyDescent="0.2">
      <c r="A253" t="s">
        <v>291</v>
      </c>
      <c r="B253" t="s">
        <v>29</v>
      </c>
      <c r="C253" t="s">
        <v>30</v>
      </c>
      <c r="D253" t="s">
        <v>24</v>
      </c>
      <c r="E253" t="s">
        <v>181</v>
      </c>
      <c r="F253" t="s">
        <v>49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  <c r="R253" s="3">
        <f t="shared" si="12"/>
        <v>351.9</v>
      </c>
      <c r="S253" t="str">
        <f t="shared" si="13"/>
        <v>March</v>
      </c>
      <c r="T253">
        <f t="shared" si="14"/>
        <v>3</v>
      </c>
      <c r="U253" t="str">
        <f t="shared" si="15"/>
        <v>Sunday</v>
      </c>
    </row>
    <row r="254" spans="1:21" x14ac:dyDescent="0.2">
      <c r="A254" t="s">
        <v>292</v>
      </c>
      <c r="B254" t="s">
        <v>29</v>
      </c>
      <c r="C254" t="s">
        <v>30</v>
      </c>
      <c r="D254" t="s">
        <v>31</v>
      </c>
      <c r="E254" t="s">
        <v>25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  <c r="R254" s="3">
        <f t="shared" si="12"/>
        <v>28.78</v>
      </c>
      <c r="S254" t="str">
        <f t="shared" si="13"/>
        <v>February</v>
      </c>
      <c r="T254">
        <f t="shared" si="14"/>
        <v>2</v>
      </c>
      <c r="U254" t="str">
        <f t="shared" si="15"/>
        <v>Sunday</v>
      </c>
    </row>
    <row r="255" spans="1:21" x14ac:dyDescent="0.2">
      <c r="A255" t="s">
        <v>293</v>
      </c>
      <c r="B255" t="s">
        <v>22</v>
      </c>
      <c r="C255" t="s">
        <v>23</v>
      </c>
      <c r="D255" t="s">
        <v>31</v>
      </c>
      <c r="E255" t="s">
        <v>181</v>
      </c>
      <c r="F255" t="s">
        <v>35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33</v>
      </c>
      <c r="N255">
        <v>95</v>
      </c>
      <c r="O255">
        <v>4.7619047620000003</v>
      </c>
      <c r="P255">
        <v>4.75</v>
      </c>
      <c r="Q255">
        <v>5.2</v>
      </c>
      <c r="R255" s="3">
        <f t="shared" si="12"/>
        <v>95</v>
      </c>
      <c r="S255" t="str">
        <f t="shared" si="13"/>
        <v>March</v>
      </c>
      <c r="T255">
        <f t="shared" si="14"/>
        <v>3</v>
      </c>
      <c r="U255" t="str">
        <f t="shared" si="15"/>
        <v>Saturday</v>
      </c>
    </row>
    <row r="256" spans="1:21" x14ac:dyDescent="0.2">
      <c r="A256" t="s">
        <v>294</v>
      </c>
      <c r="B256" t="s">
        <v>22</v>
      </c>
      <c r="C256" t="s">
        <v>23</v>
      </c>
      <c r="D256" t="s">
        <v>24</v>
      </c>
      <c r="E256" t="s">
        <v>181</v>
      </c>
      <c r="F256" t="s">
        <v>35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33</v>
      </c>
      <c r="N256">
        <v>471.2</v>
      </c>
      <c r="O256">
        <v>4.7619047620000003</v>
      </c>
      <c r="P256">
        <v>23.56</v>
      </c>
      <c r="Q256">
        <v>8.9</v>
      </c>
      <c r="R256" s="3">
        <f t="shared" si="12"/>
        <v>471.2</v>
      </c>
      <c r="S256" t="str">
        <f t="shared" si="13"/>
        <v>June</v>
      </c>
      <c r="T256">
        <f t="shared" si="14"/>
        <v>6</v>
      </c>
      <c r="U256" t="str">
        <f t="shared" si="15"/>
        <v>Saturday</v>
      </c>
    </row>
    <row r="257" spans="1:21" x14ac:dyDescent="0.2">
      <c r="A257" t="s">
        <v>295</v>
      </c>
      <c r="B257" t="s">
        <v>45</v>
      </c>
      <c r="C257" t="s">
        <v>46</v>
      </c>
      <c r="D257" t="s">
        <v>24</v>
      </c>
      <c r="E257" t="s">
        <v>181</v>
      </c>
      <c r="F257" t="s">
        <v>49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33</v>
      </c>
      <c r="N257">
        <v>130.47999999999999</v>
      </c>
      <c r="O257">
        <v>4.7619047620000003</v>
      </c>
      <c r="P257">
        <v>6.524</v>
      </c>
      <c r="Q257">
        <v>9</v>
      </c>
      <c r="R257" s="3">
        <f t="shared" si="12"/>
        <v>130.47999999999999</v>
      </c>
      <c r="S257" t="str">
        <f t="shared" si="13"/>
        <v>January</v>
      </c>
      <c r="T257">
        <f t="shared" si="14"/>
        <v>1</v>
      </c>
      <c r="U257" t="str">
        <f t="shared" si="15"/>
        <v>Tuesday</v>
      </c>
    </row>
    <row r="258" spans="1:21" x14ac:dyDescent="0.2">
      <c r="A258" t="s">
        <v>296</v>
      </c>
      <c r="B258" t="s">
        <v>22</v>
      </c>
      <c r="C258" t="s">
        <v>23</v>
      </c>
      <c r="D258" t="s">
        <v>24</v>
      </c>
      <c r="E258" t="s">
        <v>181</v>
      </c>
      <c r="F258" t="s">
        <v>32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3">
        <f t="shared" si="12"/>
        <v>66.349999999999994</v>
      </c>
      <c r="S258" t="str">
        <f t="shared" si="13"/>
        <v>January</v>
      </c>
      <c r="T258">
        <f t="shared" si="14"/>
        <v>1</v>
      </c>
      <c r="U258" t="str">
        <f t="shared" si="15"/>
        <v>Thursday</v>
      </c>
    </row>
    <row r="259" spans="1:21" x14ac:dyDescent="0.2">
      <c r="A259" t="s">
        <v>297</v>
      </c>
      <c r="B259" t="s">
        <v>22</v>
      </c>
      <c r="C259" t="s">
        <v>23</v>
      </c>
      <c r="D259" t="s">
        <v>24</v>
      </c>
      <c r="E259" t="s">
        <v>181</v>
      </c>
      <c r="F259" t="s">
        <v>35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27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3">
        <f t="shared" ref="R259:R322" si="16">H259*G259</f>
        <v>155.46</v>
      </c>
      <c r="S259" t="str">
        <f t="shared" ref="S259:S322" si="17">TEXT(K259,"mmmm")</f>
        <v>May</v>
      </c>
      <c r="T259">
        <f t="shared" ref="T259:T322" si="18">MONTH(K259)</f>
        <v>5</v>
      </c>
      <c r="U259" t="str">
        <f t="shared" ref="U259:U322" si="19">TEXT(K259,"dddd")</f>
        <v>Thursday</v>
      </c>
    </row>
    <row r="260" spans="1:21" x14ac:dyDescent="0.2">
      <c r="A260" t="s">
        <v>298</v>
      </c>
      <c r="B260" t="s">
        <v>22</v>
      </c>
      <c r="C260" t="s">
        <v>23</v>
      </c>
      <c r="D260" t="s">
        <v>24</v>
      </c>
      <c r="E260" t="s">
        <v>181</v>
      </c>
      <c r="F260" t="s">
        <v>32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27</v>
      </c>
      <c r="N260">
        <v>129</v>
      </c>
      <c r="O260">
        <v>4.7619047620000003</v>
      </c>
      <c r="P260">
        <v>6.45</v>
      </c>
      <c r="Q260">
        <v>6.5</v>
      </c>
      <c r="R260" s="3">
        <f t="shared" si="16"/>
        <v>129</v>
      </c>
      <c r="S260" t="str">
        <f t="shared" si="17"/>
        <v>February</v>
      </c>
      <c r="T260">
        <f t="shared" si="18"/>
        <v>2</v>
      </c>
      <c r="U260" t="str">
        <f t="shared" si="19"/>
        <v>Wednesday</v>
      </c>
    </row>
    <row r="261" spans="1:21" x14ac:dyDescent="0.2">
      <c r="A261" t="s">
        <v>299</v>
      </c>
      <c r="B261" t="s">
        <v>29</v>
      </c>
      <c r="C261" t="s">
        <v>30</v>
      </c>
      <c r="D261" t="s">
        <v>24</v>
      </c>
      <c r="E261" t="s">
        <v>181</v>
      </c>
      <c r="F261" t="s">
        <v>32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  <c r="R261" s="3">
        <f t="shared" si="16"/>
        <v>263.76</v>
      </c>
      <c r="S261" t="str">
        <f t="shared" si="17"/>
        <v>July</v>
      </c>
      <c r="T261">
        <f t="shared" si="18"/>
        <v>7</v>
      </c>
      <c r="U261" t="str">
        <f t="shared" si="19"/>
        <v>Tuesday</v>
      </c>
    </row>
    <row r="262" spans="1:21" x14ac:dyDescent="0.2">
      <c r="A262" t="s">
        <v>300</v>
      </c>
      <c r="B262" t="s">
        <v>22</v>
      </c>
      <c r="C262" t="s">
        <v>23</v>
      </c>
      <c r="D262" t="s">
        <v>31</v>
      </c>
      <c r="E262" t="s">
        <v>25</v>
      </c>
      <c r="F262" t="s">
        <v>32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27</v>
      </c>
      <c r="N262">
        <v>675.54</v>
      </c>
      <c r="O262">
        <v>4.7619047620000003</v>
      </c>
      <c r="P262">
        <v>33.777000000000001</v>
      </c>
      <c r="Q262">
        <v>6.2</v>
      </c>
      <c r="R262" s="3">
        <f t="shared" si="16"/>
        <v>675.54</v>
      </c>
      <c r="S262" t="str">
        <f t="shared" si="17"/>
        <v>March</v>
      </c>
      <c r="T262">
        <f t="shared" si="18"/>
        <v>3</v>
      </c>
      <c r="U262" t="str">
        <f t="shared" si="19"/>
        <v>Tuesday</v>
      </c>
    </row>
    <row r="263" spans="1:21" x14ac:dyDescent="0.2">
      <c r="A263" t="s">
        <v>301</v>
      </c>
      <c r="B263" t="s">
        <v>29</v>
      </c>
      <c r="C263" t="s">
        <v>30</v>
      </c>
      <c r="D263" t="s">
        <v>31</v>
      </c>
      <c r="E263" t="s">
        <v>25</v>
      </c>
      <c r="F263" t="s">
        <v>49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27</v>
      </c>
      <c r="N263">
        <v>65.8</v>
      </c>
      <c r="O263">
        <v>4.7619047620000003</v>
      </c>
      <c r="P263">
        <v>3.29</v>
      </c>
      <c r="Q263">
        <v>5.6</v>
      </c>
      <c r="R263" s="3">
        <f t="shared" si="16"/>
        <v>65.8</v>
      </c>
      <c r="S263" t="str">
        <f t="shared" si="17"/>
        <v>July</v>
      </c>
      <c r="T263">
        <f t="shared" si="18"/>
        <v>7</v>
      </c>
      <c r="U263" t="str">
        <f t="shared" si="19"/>
        <v>Wednesday</v>
      </c>
    </row>
    <row r="264" spans="1:21" x14ac:dyDescent="0.2">
      <c r="A264" t="s">
        <v>302</v>
      </c>
      <c r="B264" t="s">
        <v>45</v>
      </c>
      <c r="C264" t="s">
        <v>46</v>
      </c>
      <c r="D264" t="s">
        <v>24</v>
      </c>
      <c r="E264" t="s">
        <v>25</v>
      </c>
      <c r="F264" t="s">
        <v>49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33</v>
      </c>
      <c r="N264">
        <v>153.19999999999999</v>
      </c>
      <c r="O264">
        <v>4.7619047620000003</v>
      </c>
      <c r="P264">
        <v>7.66</v>
      </c>
      <c r="Q264">
        <v>5.7</v>
      </c>
      <c r="R264" s="3">
        <f t="shared" si="16"/>
        <v>153.19999999999999</v>
      </c>
      <c r="S264" t="str">
        <f t="shared" si="17"/>
        <v>March</v>
      </c>
      <c r="T264">
        <f t="shared" si="18"/>
        <v>3</v>
      </c>
      <c r="U264" t="str">
        <f t="shared" si="19"/>
        <v>Wednesday</v>
      </c>
    </row>
    <row r="265" spans="1:21" x14ac:dyDescent="0.2">
      <c r="A265" t="s">
        <v>303</v>
      </c>
      <c r="B265" t="s">
        <v>22</v>
      </c>
      <c r="C265" t="s">
        <v>23</v>
      </c>
      <c r="D265" t="s">
        <v>24</v>
      </c>
      <c r="E265" t="s">
        <v>25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33</v>
      </c>
      <c r="N265">
        <v>222.4</v>
      </c>
      <c r="O265">
        <v>4.7619047620000003</v>
      </c>
      <c r="P265">
        <v>11.12</v>
      </c>
      <c r="Q265">
        <v>4.2</v>
      </c>
      <c r="R265" s="3">
        <f t="shared" si="16"/>
        <v>222.39999999999998</v>
      </c>
      <c r="S265" t="str">
        <f t="shared" si="17"/>
        <v>September</v>
      </c>
      <c r="T265">
        <f t="shared" si="18"/>
        <v>9</v>
      </c>
      <c r="U265" t="str">
        <f t="shared" si="19"/>
        <v>Monday</v>
      </c>
    </row>
    <row r="266" spans="1:21" x14ac:dyDescent="0.2">
      <c r="A266" t="s">
        <v>304</v>
      </c>
      <c r="B266" t="s">
        <v>45</v>
      </c>
      <c r="C266" t="s">
        <v>46</v>
      </c>
      <c r="D266" t="s">
        <v>31</v>
      </c>
      <c r="E266" t="s">
        <v>181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27</v>
      </c>
      <c r="N266">
        <v>54.45</v>
      </c>
      <c r="O266">
        <v>4.7619047620000003</v>
      </c>
      <c r="P266">
        <v>2.7225000000000001</v>
      </c>
      <c r="Q266">
        <v>7.9</v>
      </c>
      <c r="R266" s="3">
        <f t="shared" si="16"/>
        <v>54.45</v>
      </c>
      <c r="S266" t="str">
        <f t="shared" si="17"/>
        <v>February</v>
      </c>
      <c r="T266">
        <f t="shared" si="18"/>
        <v>2</v>
      </c>
      <c r="U266" t="str">
        <f t="shared" si="19"/>
        <v>Tuesday</v>
      </c>
    </row>
    <row r="267" spans="1:21" x14ac:dyDescent="0.2">
      <c r="A267" t="s">
        <v>305</v>
      </c>
      <c r="B267" t="s">
        <v>22</v>
      </c>
      <c r="C267" t="s">
        <v>23</v>
      </c>
      <c r="D267" t="s">
        <v>24</v>
      </c>
      <c r="E267" t="s">
        <v>25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  <c r="R267" s="3">
        <f t="shared" si="16"/>
        <v>688.80000000000007</v>
      </c>
      <c r="S267" t="str">
        <f t="shared" si="17"/>
        <v>December</v>
      </c>
      <c r="T267">
        <f t="shared" si="18"/>
        <v>12</v>
      </c>
      <c r="U267" t="str">
        <f t="shared" si="19"/>
        <v>Tuesday</v>
      </c>
    </row>
    <row r="268" spans="1:21" x14ac:dyDescent="0.2">
      <c r="A268" t="s">
        <v>306</v>
      </c>
      <c r="B268" t="s">
        <v>29</v>
      </c>
      <c r="C268" t="s">
        <v>30</v>
      </c>
      <c r="D268" t="s">
        <v>31</v>
      </c>
      <c r="E268" t="s">
        <v>181</v>
      </c>
      <c r="F268" t="s">
        <v>35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  <c r="R268" s="3">
        <f t="shared" si="16"/>
        <v>141.88</v>
      </c>
      <c r="S268" t="str">
        <f t="shared" si="17"/>
        <v>March</v>
      </c>
      <c r="T268">
        <f t="shared" si="18"/>
        <v>3</v>
      </c>
      <c r="U268" t="str">
        <f t="shared" si="19"/>
        <v>Thursday</v>
      </c>
    </row>
    <row r="269" spans="1:21" x14ac:dyDescent="0.2">
      <c r="A269" t="s">
        <v>307</v>
      </c>
      <c r="B269" t="s">
        <v>45</v>
      </c>
      <c r="C269" t="s">
        <v>46</v>
      </c>
      <c r="D269" t="s">
        <v>24</v>
      </c>
      <c r="E269" t="s">
        <v>25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33</v>
      </c>
      <c r="N269">
        <v>746</v>
      </c>
      <c r="O269">
        <v>4.7619047620000003</v>
      </c>
      <c r="P269">
        <v>37.299999999999997</v>
      </c>
      <c r="Q269">
        <v>9.5</v>
      </c>
      <c r="R269" s="3">
        <f t="shared" si="16"/>
        <v>746</v>
      </c>
      <c r="S269" t="str">
        <f t="shared" si="17"/>
        <v>August</v>
      </c>
      <c r="T269">
        <f t="shared" si="18"/>
        <v>8</v>
      </c>
      <c r="U269" t="str">
        <f t="shared" si="19"/>
        <v>Thursday</v>
      </c>
    </row>
    <row r="270" spans="1:21" x14ac:dyDescent="0.2">
      <c r="A270" t="s">
        <v>308</v>
      </c>
      <c r="B270" t="s">
        <v>22</v>
      </c>
      <c r="C270" t="s">
        <v>23</v>
      </c>
      <c r="D270" t="s">
        <v>24</v>
      </c>
      <c r="E270" t="s">
        <v>181</v>
      </c>
      <c r="F270" t="s">
        <v>35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3">
        <f t="shared" si="16"/>
        <v>282.95999999999998</v>
      </c>
      <c r="S270" t="str">
        <f t="shared" si="17"/>
        <v>May</v>
      </c>
      <c r="T270">
        <f t="shared" si="18"/>
        <v>5</v>
      </c>
      <c r="U270" t="str">
        <f t="shared" si="19"/>
        <v>Wednesday</v>
      </c>
    </row>
    <row r="271" spans="1:21" x14ac:dyDescent="0.2">
      <c r="A271" t="s">
        <v>309</v>
      </c>
      <c r="B271" t="s">
        <v>22</v>
      </c>
      <c r="C271" t="s">
        <v>23</v>
      </c>
      <c r="D271" t="s">
        <v>24</v>
      </c>
      <c r="E271" t="s">
        <v>25</v>
      </c>
      <c r="F271" t="s">
        <v>35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27</v>
      </c>
      <c r="N271">
        <v>355.4</v>
      </c>
      <c r="O271">
        <v>4.7619047620000003</v>
      </c>
      <c r="P271">
        <v>17.77</v>
      </c>
      <c r="Q271">
        <v>7</v>
      </c>
      <c r="R271" s="3">
        <f t="shared" si="16"/>
        <v>355.4</v>
      </c>
      <c r="S271" t="str">
        <f t="shared" si="17"/>
        <v>April</v>
      </c>
      <c r="T271">
        <f t="shared" si="18"/>
        <v>4</v>
      </c>
      <c r="U271" t="str">
        <f t="shared" si="19"/>
        <v>Monday</v>
      </c>
    </row>
    <row r="272" spans="1:21" x14ac:dyDescent="0.2">
      <c r="A272" t="s">
        <v>310</v>
      </c>
      <c r="B272" t="s">
        <v>45</v>
      </c>
      <c r="C272" t="s">
        <v>46</v>
      </c>
      <c r="D272" t="s">
        <v>31</v>
      </c>
      <c r="E272" t="s">
        <v>25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27</v>
      </c>
      <c r="N272">
        <v>337.15</v>
      </c>
      <c r="O272">
        <v>4.7619047620000003</v>
      </c>
      <c r="P272">
        <v>16.857500000000002</v>
      </c>
      <c r="Q272">
        <v>6.3</v>
      </c>
      <c r="R272" s="3">
        <f t="shared" si="16"/>
        <v>337.15000000000003</v>
      </c>
      <c r="S272" t="str">
        <f t="shared" si="17"/>
        <v>June</v>
      </c>
      <c r="T272">
        <f t="shared" si="18"/>
        <v>6</v>
      </c>
      <c r="U272" t="str">
        <f t="shared" si="19"/>
        <v>Monday</v>
      </c>
    </row>
    <row r="273" spans="1:21" x14ac:dyDescent="0.2">
      <c r="A273" t="s">
        <v>311</v>
      </c>
      <c r="B273" t="s">
        <v>29</v>
      </c>
      <c r="C273" t="s">
        <v>30</v>
      </c>
      <c r="D273" t="s">
        <v>24</v>
      </c>
      <c r="E273" t="s">
        <v>25</v>
      </c>
      <c r="F273" t="s">
        <v>26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33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3">
        <f t="shared" si="16"/>
        <v>42.24</v>
      </c>
      <c r="S273" t="str">
        <f t="shared" si="17"/>
        <v>March</v>
      </c>
      <c r="T273">
        <f t="shared" si="18"/>
        <v>3</v>
      </c>
      <c r="U273" t="str">
        <f t="shared" si="19"/>
        <v>Friday</v>
      </c>
    </row>
    <row r="274" spans="1:21" x14ac:dyDescent="0.2">
      <c r="A274" t="s">
        <v>312</v>
      </c>
      <c r="B274" t="s">
        <v>22</v>
      </c>
      <c r="C274" t="s">
        <v>23</v>
      </c>
      <c r="D274" t="s">
        <v>24</v>
      </c>
      <c r="E274" t="s">
        <v>25</v>
      </c>
      <c r="F274" t="s">
        <v>35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3">
        <f t="shared" si="16"/>
        <v>193.85999999999999</v>
      </c>
      <c r="S274" t="str">
        <f t="shared" si="17"/>
        <v>July</v>
      </c>
      <c r="T274">
        <f t="shared" si="18"/>
        <v>7</v>
      </c>
      <c r="U274" t="str">
        <f t="shared" si="19"/>
        <v>Monday</v>
      </c>
    </row>
    <row r="275" spans="1:21" x14ac:dyDescent="0.2">
      <c r="A275" t="s">
        <v>313</v>
      </c>
      <c r="B275" t="s">
        <v>22</v>
      </c>
      <c r="C275" t="s">
        <v>23</v>
      </c>
      <c r="D275" t="s">
        <v>31</v>
      </c>
      <c r="E275" t="s">
        <v>25</v>
      </c>
      <c r="F275" t="s">
        <v>35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33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3">
        <f t="shared" si="16"/>
        <v>24.06</v>
      </c>
      <c r="S275" t="str">
        <f t="shared" si="17"/>
        <v>January</v>
      </c>
      <c r="T275">
        <f t="shared" si="18"/>
        <v>1</v>
      </c>
      <c r="U275" t="str">
        <f t="shared" si="19"/>
        <v>Sunday</v>
      </c>
    </row>
    <row r="276" spans="1:21" x14ac:dyDescent="0.2">
      <c r="A276" t="s">
        <v>314</v>
      </c>
      <c r="B276" t="s">
        <v>45</v>
      </c>
      <c r="C276" t="s">
        <v>46</v>
      </c>
      <c r="D276" t="s">
        <v>31</v>
      </c>
      <c r="E276" t="s">
        <v>25</v>
      </c>
      <c r="F276" t="s">
        <v>26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27</v>
      </c>
      <c r="N276">
        <v>598.26</v>
      </c>
      <c r="O276">
        <v>4.7619047620000003</v>
      </c>
      <c r="P276">
        <v>29.913</v>
      </c>
      <c r="Q276">
        <v>7.9</v>
      </c>
      <c r="R276" s="3">
        <f t="shared" si="16"/>
        <v>598.26</v>
      </c>
      <c r="S276" t="str">
        <f t="shared" si="17"/>
        <v>February</v>
      </c>
      <c r="T276">
        <f t="shared" si="18"/>
        <v>2</v>
      </c>
      <c r="U276" t="str">
        <f t="shared" si="19"/>
        <v>Tuesday</v>
      </c>
    </row>
    <row r="277" spans="1:21" x14ac:dyDescent="0.2">
      <c r="A277" t="s">
        <v>315</v>
      </c>
      <c r="B277" t="s">
        <v>45</v>
      </c>
      <c r="C277" t="s">
        <v>46</v>
      </c>
      <c r="D277" t="s">
        <v>31</v>
      </c>
      <c r="E277" t="s">
        <v>181</v>
      </c>
      <c r="F277" t="s">
        <v>49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33</v>
      </c>
      <c r="N277">
        <v>335.79</v>
      </c>
      <c r="O277">
        <v>4.7619047620000003</v>
      </c>
      <c r="P277">
        <v>16.7895</v>
      </c>
      <c r="Q277">
        <v>6.2</v>
      </c>
      <c r="R277" s="3">
        <f t="shared" si="16"/>
        <v>335.78999999999996</v>
      </c>
      <c r="S277" t="str">
        <f t="shared" si="17"/>
        <v>July</v>
      </c>
      <c r="T277">
        <f t="shared" si="18"/>
        <v>7</v>
      </c>
      <c r="U277" t="str">
        <f t="shared" si="19"/>
        <v>Monday</v>
      </c>
    </row>
    <row r="278" spans="1:21" x14ac:dyDescent="0.2">
      <c r="A278" t="s">
        <v>316</v>
      </c>
      <c r="B278" t="s">
        <v>29</v>
      </c>
      <c r="C278" t="s">
        <v>30</v>
      </c>
      <c r="D278" t="s">
        <v>24</v>
      </c>
      <c r="E278" t="s">
        <v>25</v>
      </c>
      <c r="F278" t="s">
        <v>35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33</v>
      </c>
      <c r="N278">
        <v>218.2</v>
      </c>
      <c r="O278">
        <v>4.7619047620000003</v>
      </c>
      <c r="P278">
        <v>10.91</v>
      </c>
      <c r="Q278">
        <v>7.1</v>
      </c>
      <c r="R278" s="3">
        <f t="shared" si="16"/>
        <v>218.2</v>
      </c>
      <c r="S278" t="str">
        <f t="shared" si="17"/>
        <v>July</v>
      </c>
      <c r="T278">
        <f t="shared" si="18"/>
        <v>7</v>
      </c>
      <c r="U278" t="str">
        <f t="shared" si="19"/>
        <v>Monday</v>
      </c>
    </row>
    <row r="279" spans="1:21" x14ac:dyDescent="0.2">
      <c r="A279" t="s">
        <v>317</v>
      </c>
      <c r="B279" t="s">
        <v>29</v>
      </c>
      <c r="C279" t="s">
        <v>30</v>
      </c>
      <c r="D279" t="s">
        <v>31</v>
      </c>
      <c r="E279" t="s">
        <v>25</v>
      </c>
      <c r="F279" t="s">
        <v>49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27</v>
      </c>
      <c r="N279">
        <v>381.68</v>
      </c>
      <c r="O279">
        <v>4.7619047620000003</v>
      </c>
      <c r="P279">
        <v>19.084</v>
      </c>
      <c r="Q279">
        <v>6.4</v>
      </c>
      <c r="R279" s="3">
        <f t="shared" si="16"/>
        <v>381.68</v>
      </c>
      <c r="S279" t="str">
        <f t="shared" si="17"/>
        <v>February</v>
      </c>
      <c r="T279">
        <f t="shared" si="18"/>
        <v>2</v>
      </c>
      <c r="U279" t="str">
        <f t="shared" si="19"/>
        <v>Saturday</v>
      </c>
    </row>
    <row r="280" spans="1:21" x14ac:dyDescent="0.2">
      <c r="A280" t="s">
        <v>318</v>
      </c>
      <c r="B280" t="s">
        <v>29</v>
      </c>
      <c r="C280" t="s">
        <v>30</v>
      </c>
      <c r="D280" t="s">
        <v>24</v>
      </c>
      <c r="E280" t="s">
        <v>181</v>
      </c>
      <c r="F280" t="s">
        <v>49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33</v>
      </c>
      <c r="N280">
        <v>709.9</v>
      </c>
      <c r="O280">
        <v>4.7619047620000003</v>
      </c>
      <c r="P280">
        <v>35.494999999999997</v>
      </c>
      <c r="Q280">
        <v>5.7</v>
      </c>
      <c r="R280" s="3">
        <f t="shared" si="16"/>
        <v>709.9</v>
      </c>
      <c r="S280" t="str">
        <f t="shared" si="17"/>
        <v>March</v>
      </c>
      <c r="T280">
        <f t="shared" si="18"/>
        <v>3</v>
      </c>
      <c r="U280" t="str">
        <f t="shared" si="19"/>
        <v>Wednesday</v>
      </c>
    </row>
    <row r="281" spans="1:21" x14ac:dyDescent="0.2">
      <c r="A281" t="s">
        <v>319</v>
      </c>
      <c r="B281" t="s">
        <v>22</v>
      </c>
      <c r="C281" t="s">
        <v>23</v>
      </c>
      <c r="D281" t="s">
        <v>24</v>
      </c>
      <c r="E281" t="s">
        <v>181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  <c r="R281" s="3">
        <f t="shared" si="16"/>
        <v>440.20000000000005</v>
      </c>
      <c r="S281" t="str">
        <f t="shared" si="17"/>
        <v>March</v>
      </c>
      <c r="T281">
        <f t="shared" si="18"/>
        <v>3</v>
      </c>
      <c r="U281" t="str">
        <f t="shared" si="19"/>
        <v>Wednesday</v>
      </c>
    </row>
    <row r="282" spans="1:21" x14ac:dyDescent="0.2">
      <c r="A282" t="s">
        <v>320</v>
      </c>
      <c r="B282" t="s">
        <v>22</v>
      </c>
      <c r="C282" t="s">
        <v>23</v>
      </c>
      <c r="D282" t="s">
        <v>31</v>
      </c>
      <c r="E282" t="s">
        <v>25</v>
      </c>
      <c r="F282" t="s">
        <v>35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  <c r="R282" s="3">
        <f t="shared" si="16"/>
        <v>559.67999999999995</v>
      </c>
      <c r="S282" t="str">
        <f t="shared" si="17"/>
        <v>February</v>
      </c>
      <c r="T282">
        <f t="shared" si="18"/>
        <v>2</v>
      </c>
      <c r="U282" t="str">
        <f t="shared" si="19"/>
        <v>Friday</v>
      </c>
    </row>
    <row r="283" spans="1:21" x14ac:dyDescent="0.2">
      <c r="A283" t="s">
        <v>321</v>
      </c>
      <c r="B283" t="s">
        <v>29</v>
      </c>
      <c r="C283" t="s">
        <v>30</v>
      </c>
      <c r="D283" t="s">
        <v>31</v>
      </c>
      <c r="E283" t="s">
        <v>181</v>
      </c>
      <c r="F283" t="s">
        <v>35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  <c r="R283" s="3">
        <f t="shared" si="16"/>
        <v>37</v>
      </c>
      <c r="S283" t="str">
        <f t="shared" si="17"/>
        <v>June</v>
      </c>
      <c r="T283">
        <f t="shared" si="18"/>
        <v>6</v>
      </c>
      <c r="U283" t="str">
        <f t="shared" si="19"/>
        <v>Monday</v>
      </c>
    </row>
    <row r="284" spans="1:21" x14ac:dyDescent="0.2">
      <c r="A284" t="s">
        <v>322</v>
      </c>
      <c r="B284" t="s">
        <v>22</v>
      </c>
      <c r="C284" t="s">
        <v>23</v>
      </c>
      <c r="D284" t="s">
        <v>31</v>
      </c>
      <c r="E284" t="s">
        <v>25</v>
      </c>
      <c r="F284" t="s">
        <v>39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33</v>
      </c>
      <c r="N284">
        <v>15.34</v>
      </c>
      <c r="O284">
        <v>4.7619047620000003</v>
      </c>
      <c r="P284">
        <v>0.76700000000000002</v>
      </c>
      <c r="Q284">
        <v>6.5</v>
      </c>
      <c r="R284" s="3">
        <f t="shared" si="16"/>
        <v>15.34</v>
      </c>
      <c r="S284" t="str">
        <f t="shared" si="17"/>
        <v>June</v>
      </c>
      <c r="T284">
        <f t="shared" si="18"/>
        <v>6</v>
      </c>
      <c r="U284" t="str">
        <f t="shared" si="19"/>
        <v>Saturday</v>
      </c>
    </row>
    <row r="285" spans="1:21" x14ac:dyDescent="0.2">
      <c r="A285" t="s">
        <v>323</v>
      </c>
      <c r="B285" t="s">
        <v>22</v>
      </c>
      <c r="C285" t="s">
        <v>23</v>
      </c>
      <c r="D285" t="s">
        <v>24</v>
      </c>
      <c r="E285" t="s">
        <v>181</v>
      </c>
      <c r="F285" t="s">
        <v>26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27</v>
      </c>
      <c r="N285">
        <v>598.98</v>
      </c>
      <c r="O285">
        <v>4.7619047620000003</v>
      </c>
      <c r="P285">
        <v>29.949000000000002</v>
      </c>
      <c r="Q285">
        <v>8.5</v>
      </c>
      <c r="R285" s="3">
        <f t="shared" si="16"/>
        <v>598.98</v>
      </c>
      <c r="S285" t="str">
        <f t="shared" si="17"/>
        <v>April</v>
      </c>
      <c r="T285">
        <f t="shared" si="18"/>
        <v>4</v>
      </c>
      <c r="U285" t="str">
        <f t="shared" si="19"/>
        <v>Wednesday</v>
      </c>
    </row>
    <row r="286" spans="1:21" x14ac:dyDescent="0.2">
      <c r="A286" t="s">
        <v>324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33</v>
      </c>
      <c r="N286">
        <v>190.68</v>
      </c>
      <c r="O286">
        <v>4.7619047620000003</v>
      </c>
      <c r="P286">
        <v>9.5340000000000007</v>
      </c>
      <c r="Q286">
        <v>9.1</v>
      </c>
      <c r="R286" s="3">
        <f t="shared" si="16"/>
        <v>190.68</v>
      </c>
      <c r="S286" t="str">
        <f t="shared" si="17"/>
        <v>December</v>
      </c>
      <c r="T286">
        <f t="shared" si="18"/>
        <v>12</v>
      </c>
      <c r="U286" t="str">
        <f t="shared" si="19"/>
        <v>Tuesday</v>
      </c>
    </row>
    <row r="287" spans="1:21" x14ac:dyDescent="0.2">
      <c r="A287" t="s">
        <v>325</v>
      </c>
      <c r="B287" t="s">
        <v>45</v>
      </c>
      <c r="C287" t="s">
        <v>46</v>
      </c>
      <c r="D287" t="s">
        <v>31</v>
      </c>
      <c r="E287" t="s">
        <v>181</v>
      </c>
      <c r="F287" t="s">
        <v>26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33</v>
      </c>
      <c r="N287">
        <v>333.4</v>
      </c>
      <c r="O287">
        <v>4.7619047620000003</v>
      </c>
      <c r="P287">
        <v>16.670000000000002</v>
      </c>
      <c r="Q287">
        <v>7.6</v>
      </c>
      <c r="R287" s="3">
        <f t="shared" si="16"/>
        <v>333.40000000000003</v>
      </c>
      <c r="S287" t="str">
        <f t="shared" si="17"/>
        <v>February</v>
      </c>
      <c r="T287">
        <f t="shared" si="18"/>
        <v>2</v>
      </c>
      <c r="U287" t="str">
        <f t="shared" si="19"/>
        <v>Wednesday</v>
      </c>
    </row>
    <row r="288" spans="1:21" x14ac:dyDescent="0.2">
      <c r="A288" t="s">
        <v>326</v>
      </c>
      <c r="B288" t="s">
        <v>29</v>
      </c>
      <c r="C288" t="s">
        <v>30</v>
      </c>
      <c r="D288" t="s">
        <v>24</v>
      </c>
      <c r="E288" t="s">
        <v>181</v>
      </c>
      <c r="F288" t="s">
        <v>35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33</v>
      </c>
      <c r="N288">
        <v>74.86</v>
      </c>
      <c r="O288">
        <v>4.7619047620000003</v>
      </c>
      <c r="P288">
        <v>3.7429999999999999</v>
      </c>
      <c r="Q288">
        <v>6.9</v>
      </c>
      <c r="R288" s="3">
        <f t="shared" si="16"/>
        <v>74.86</v>
      </c>
      <c r="S288" t="str">
        <f t="shared" si="17"/>
        <v>March</v>
      </c>
      <c r="T288">
        <f t="shared" si="18"/>
        <v>3</v>
      </c>
      <c r="U288" t="str">
        <f t="shared" si="19"/>
        <v>Sunday</v>
      </c>
    </row>
    <row r="289" spans="1:21" x14ac:dyDescent="0.2">
      <c r="A289" t="s">
        <v>327</v>
      </c>
      <c r="B289" t="s">
        <v>29</v>
      </c>
      <c r="C289" t="s">
        <v>30</v>
      </c>
      <c r="D289" t="s">
        <v>31</v>
      </c>
      <c r="E289" t="s">
        <v>25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33</v>
      </c>
      <c r="N289">
        <v>213.75</v>
      </c>
      <c r="O289">
        <v>4.7619047620000003</v>
      </c>
      <c r="P289">
        <v>10.6875</v>
      </c>
      <c r="Q289">
        <v>9.5</v>
      </c>
      <c r="R289" s="3">
        <f t="shared" si="16"/>
        <v>213.75</v>
      </c>
      <c r="S289" t="str">
        <f t="shared" si="17"/>
        <v>January</v>
      </c>
      <c r="T289">
        <f t="shared" si="18"/>
        <v>1</v>
      </c>
      <c r="U289" t="str">
        <f t="shared" si="19"/>
        <v>Thursday</v>
      </c>
    </row>
    <row r="290" spans="1:21" x14ac:dyDescent="0.2">
      <c r="A290" t="s">
        <v>328</v>
      </c>
      <c r="B290" t="s">
        <v>45</v>
      </c>
      <c r="C290" t="s">
        <v>46</v>
      </c>
      <c r="D290" t="s">
        <v>31</v>
      </c>
      <c r="E290" t="s">
        <v>25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  <c r="R290" s="3">
        <f t="shared" si="16"/>
        <v>339.57</v>
      </c>
      <c r="S290" t="str">
        <f t="shared" si="17"/>
        <v>January</v>
      </c>
      <c r="T290">
        <f t="shared" si="18"/>
        <v>1</v>
      </c>
      <c r="U290" t="str">
        <f t="shared" si="19"/>
        <v>Friday</v>
      </c>
    </row>
    <row r="291" spans="1:21" x14ac:dyDescent="0.2">
      <c r="A291" t="s">
        <v>329</v>
      </c>
      <c r="B291" t="s">
        <v>22</v>
      </c>
      <c r="C291" t="s">
        <v>23</v>
      </c>
      <c r="D291" t="s">
        <v>24</v>
      </c>
      <c r="E291" t="s">
        <v>25</v>
      </c>
      <c r="F291" t="s">
        <v>35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33</v>
      </c>
      <c r="N291">
        <v>664.16</v>
      </c>
      <c r="O291">
        <v>4.7619047620000003</v>
      </c>
      <c r="P291">
        <v>33.207999999999998</v>
      </c>
      <c r="Q291">
        <v>4.2</v>
      </c>
      <c r="R291" s="3">
        <f t="shared" si="16"/>
        <v>664.16</v>
      </c>
      <c r="S291" t="str">
        <f t="shared" si="17"/>
        <v>March</v>
      </c>
      <c r="T291">
        <f t="shared" si="18"/>
        <v>3</v>
      </c>
      <c r="U291" t="str">
        <f t="shared" si="19"/>
        <v>Saturday</v>
      </c>
    </row>
    <row r="292" spans="1:21" x14ac:dyDescent="0.2">
      <c r="A292" t="s">
        <v>330</v>
      </c>
      <c r="B292" t="s">
        <v>45</v>
      </c>
      <c r="C292" t="s">
        <v>46</v>
      </c>
      <c r="D292" t="s">
        <v>24</v>
      </c>
      <c r="E292" t="s">
        <v>181</v>
      </c>
      <c r="F292" t="s">
        <v>32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  <c r="R292" s="3">
        <f t="shared" si="16"/>
        <v>403</v>
      </c>
      <c r="S292" t="str">
        <f t="shared" si="17"/>
        <v>January</v>
      </c>
      <c r="T292">
        <f t="shared" si="18"/>
        <v>1</v>
      </c>
      <c r="U292" t="str">
        <f t="shared" si="19"/>
        <v>Thursday</v>
      </c>
    </row>
    <row r="293" spans="1:21" x14ac:dyDescent="0.2">
      <c r="A293" t="s">
        <v>331</v>
      </c>
      <c r="B293" t="s">
        <v>29</v>
      </c>
      <c r="C293" t="s">
        <v>30</v>
      </c>
      <c r="D293" t="s">
        <v>31</v>
      </c>
      <c r="E293" t="s">
        <v>181</v>
      </c>
      <c r="F293" t="s">
        <v>32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27</v>
      </c>
      <c r="N293">
        <v>194.95</v>
      </c>
      <c r="O293">
        <v>4.7619047620000003</v>
      </c>
      <c r="P293">
        <v>9.7475000000000005</v>
      </c>
      <c r="Q293">
        <v>6</v>
      </c>
      <c r="R293" s="3">
        <f t="shared" si="16"/>
        <v>194.95000000000002</v>
      </c>
      <c r="S293" t="str">
        <f t="shared" si="17"/>
        <v>March</v>
      </c>
      <c r="T293">
        <f t="shared" si="18"/>
        <v>3</v>
      </c>
      <c r="U293" t="str">
        <f t="shared" si="19"/>
        <v>Thursday</v>
      </c>
    </row>
    <row r="294" spans="1:21" x14ac:dyDescent="0.2">
      <c r="A294" t="s">
        <v>332</v>
      </c>
      <c r="B294" t="s">
        <v>22</v>
      </c>
      <c r="C294" t="s">
        <v>23</v>
      </c>
      <c r="D294" t="s">
        <v>24</v>
      </c>
      <c r="E294" t="s">
        <v>25</v>
      </c>
      <c r="F294" t="s">
        <v>32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33</v>
      </c>
      <c r="N294">
        <v>62.48</v>
      </c>
      <c r="O294">
        <v>4.7619047620000003</v>
      </c>
      <c r="P294">
        <v>3.1240000000000001</v>
      </c>
      <c r="Q294">
        <v>4.7</v>
      </c>
      <c r="R294" s="3">
        <f t="shared" si="16"/>
        <v>62.48</v>
      </c>
      <c r="S294" t="str">
        <f t="shared" si="17"/>
        <v>February</v>
      </c>
      <c r="T294">
        <f t="shared" si="18"/>
        <v>2</v>
      </c>
      <c r="U294" t="str">
        <f t="shared" si="19"/>
        <v>Monday</v>
      </c>
    </row>
    <row r="295" spans="1:21" x14ac:dyDescent="0.2">
      <c r="A295" t="s">
        <v>333</v>
      </c>
      <c r="B295" t="s">
        <v>22</v>
      </c>
      <c r="C295" t="s">
        <v>23</v>
      </c>
      <c r="D295" t="s">
        <v>24</v>
      </c>
      <c r="E295" t="s">
        <v>25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33</v>
      </c>
      <c r="N295">
        <v>72.72</v>
      </c>
      <c r="O295">
        <v>4.7619047620000003</v>
      </c>
      <c r="P295">
        <v>3.6360000000000001</v>
      </c>
      <c r="Q295">
        <v>7.1</v>
      </c>
      <c r="R295" s="3">
        <f t="shared" si="16"/>
        <v>72.72</v>
      </c>
      <c r="S295" t="str">
        <f t="shared" si="17"/>
        <v>January</v>
      </c>
      <c r="T295">
        <f t="shared" si="18"/>
        <v>1</v>
      </c>
      <c r="U295" t="str">
        <f t="shared" si="19"/>
        <v>Monday</v>
      </c>
    </row>
    <row r="296" spans="1:21" x14ac:dyDescent="0.2">
      <c r="A296" t="s">
        <v>334</v>
      </c>
      <c r="B296" t="s">
        <v>45</v>
      </c>
      <c r="C296" t="s">
        <v>46</v>
      </c>
      <c r="D296" t="s">
        <v>31</v>
      </c>
      <c r="E296" t="s">
        <v>181</v>
      </c>
      <c r="F296" t="s">
        <v>26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27</v>
      </c>
      <c r="N296">
        <v>181.1</v>
      </c>
      <c r="O296">
        <v>4.7619047620000003</v>
      </c>
      <c r="P296">
        <v>9.0549999999999997</v>
      </c>
      <c r="Q296">
        <v>5.9</v>
      </c>
      <c r="R296" s="3">
        <f t="shared" si="16"/>
        <v>181.1</v>
      </c>
      <c r="S296" t="str">
        <f t="shared" si="17"/>
        <v>March</v>
      </c>
      <c r="T296">
        <f t="shared" si="18"/>
        <v>3</v>
      </c>
      <c r="U296" t="str">
        <f t="shared" si="19"/>
        <v>Wednesday</v>
      </c>
    </row>
    <row r="297" spans="1:21" x14ac:dyDescent="0.2">
      <c r="A297" t="s">
        <v>335</v>
      </c>
      <c r="B297" t="s">
        <v>29</v>
      </c>
      <c r="C297" t="s">
        <v>30</v>
      </c>
      <c r="D297" t="s">
        <v>24</v>
      </c>
      <c r="E297" t="s">
        <v>25</v>
      </c>
      <c r="F297" t="s">
        <v>32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33</v>
      </c>
      <c r="N297">
        <v>259.60000000000002</v>
      </c>
      <c r="O297">
        <v>4.7619047620000003</v>
      </c>
      <c r="P297">
        <v>12.98</v>
      </c>
      <c r="Q297">
        <v>7.5</v>
      </c>
      <c r="R297" s="3">
        <f t="shared" si="16"/>
        <v>259.60000000000002</v>
      </c>
      <c r="S297" t="str">
        <f t="shared" si="17"/>
        <v>March</v>
      </c>
      <c r="T297">
        <f t="shared" si="18"/>
        <v>3</v>
      </c>
      <c r="U297" t="str">
        <f t="shared" si="19"/>
        <v>Sunday</v>
      </c>
    </row>
    <row r="298" spans="1:21" x14ac:dyDescent="0.2">
      <c r="A298" t="s">
        <v>336</v>
      </c>
      <c r="B298" t="s">
        <v>29</v>
      </c>
      <c r="C298" t="s">
        <v>30</v>
      </c>
      <c r="D298" t="s">
        <v>31</v>
      </c>
      <c r="E298" t="s">
        <v>181</v>
      </c>
      <c r="F298" t="s">
        <v>32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33</v>
      </c>
      <c r="N298">
        <v>115.36</v>
      </c>
      <c r="O298">
        <v>4.7619047620000003</v>
      </c>
      <c r="P298">
        <v>5.7679999999999998</v>
      </c>
      <c r="Q298">
        <v>6.4</v>
      </c>
      <c r="R298" s="3">
        <f t="shared" si="16"/>
        <v>115.36</v>
      </c>
      <c r="S298" t="str">
        <f t="shared" si="17"/>
        <v>March</v>
      </c>
      <c r="T298">
        <f t="shared" si="18"/>
        <v>3</v>
      </c>
      <c r="U298" t="str">
        <f t="shared" si="19"/>
        <v>Friday</v>
      </c>
    </row>
    <row r="299" spans="1:21" x14ac:dyDescent="0.2">
      <c r="A299" t="s">
        <v>337</v>
      </c>
      <c r="B299" t="s">
        <v>22</v>
      </c>
      <c r="C299" t="s">
        <v>23</v>
      </c>
      <c r="D299" t="s">
        <v>24</v>
      </c>
      <c r="E299" t="s">
        <v>181</v>
      </c>
      <c r="F299" t="s">
        <v>35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27</v>
      </c>
      <c r="N299">
        <v>470.28</v>
      </c>
      <c r="O299">
        <v>4.7619047620000003</v>
      </c>
      <c r="P299">
        <v>23.513999999999999</v>
      </c>
      <c r="Q299">
        <v>5.8</v>
      </c>
      <c r="R299" s="3">
        <f t="shared" si="16"/>
        <v>470.28</v>
      </c>
      <c r="S299" t="str">
        <f t="shared" si="17"/>
        <v>October</v>
      </c>
      <c r="T299">
        <f t="shared" si="18"/>
        <v>10</v>
      </c>
      <c r="U299" t="str">
        <f t="shared" si="19"/>
        <v>Tuesday</v>
      </c>
    </row>
    <row r="300" spans="1:21" x14ac:dyDescent="0.2">
      <c r="A300" t="s">
        <v>338</v>
      </c>
      <c r="B300" t="s">
        <v>22</v>
      </c>
      <c r="C300" t="s">
        <v>23</v>
      </c>
      <c r="D300" t="s">
        <v>24</v>
      </c>
      <c r="E300" t="s">
        <v>181</v>
      </c>
      <c r="F300" t="s">
        <v>35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33</v>
      </c>
      <c r="N300">
        <v>240.04</v>
      </c>
      <c r="O300">
        <v>4.7619047620000003</v>
      </c>
      <c r="P300">
        <v>12.002000000000001</v>
      </c>
      <c r="Q300">
        <v>4.5</v>
      </c>
      <c r="R300" s="3">
        <f t="shared" si="16"/>
        <v>240.04</v>
      </c>
      <c r="S300" t="str">
        <f t="shared" si="17"/>
        <v>January</v>
      </c>
      <c r="T300">
        <f t="shared" si="18"/>
        <v>1</v>
      </c>
      <c r="U300" t="str">
        <f t="shared" si="19"/>
        <v>Friday</v>
      </c>
    </row>
    <row r="301" spans="1:21" x14ac:dyDescent="0.2">
      <c r="A301" t="s">
        <v>339</v>
      </c>
      <c r="B301" t="s">
        <v>29</v>
      </c>
      <c r="C301" t="s">
        <v>30</v>
      </c>
      <c r="D301" t="s">
        <v>24</v>
      </c>
      <c r="E301" t="s">
        <v>25</v>
      </c>
      <c r="F301" t="s">
        <v>35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33</v>
      </c>
      <c r="N301">
        <v>88.61</v>
      </c>
      <c r="O301">
        <v>4.7619047620000003</v>
      </c>
      <c r="P301">
        <v>4.4305000000000003</v>
      </c>
      <c r="Q301">
        <v>7.7</v>
      </c>
      <c r="R301" s="3">
        <f t="shared" si="16"/>
        <v>88.61</v>
      </c>
      <c r="S301" t="str">
        <f t="shared" si="17"/>
        <v>January</v>
      </c>
      <c r="T301">
        <f t="shared" si="18"/>
        <v>1</v>
      </c>
      <c r="U301" t="str">
        <f t="shared" si="19"/>
        <v>Saturday</v>
      </c>
    </row>
    <row r="302" spans="1:21" x14ac:dyDescent="0.2">
      <c r="A302" t="s">
        <v>340</v>
      </c>
      <c r="B302" t="s">
        <v>29</v>
      </c>
      <c r="C302" t="s">
        <v>30</v>
      </c>
      <c r="D302" t="s">
        <v>31</v>
      </c>
      <c r="E302" t="s">
        <v>181</v>
      </c>
      <c r="F302" t="s">
        <v>49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  <c r="R302" s="3">
        <f t="shared" si="16"/>
        <v>199.64</v>
      </c>
      <c r="S302" t="str">
        <f t="shared" si="17"/>
        <v>February</v>
      </c>
      <c r="T302">
        <f t="shared" si="18"/>
        <v>2</v>
      </c>
      <c r="U302" t="str">
        <f t="shared" si="19"/>
        <v>Friday</v>
      </c>
    </row>
    <row r="303" spans="1:21" x14ac:dyDescent="0.2">
      <c r="A303" t="s">
        <v>341</v>
      </c>
      <c r="B303" t="s">
        <v>45</v>
      </c>
      <c r="C303" t="s">
        <v>46</v>
      </c>
      <c r="D303" t="s">
        <v>24</v>
      </c>
      <c r="E303" t="s">
        <v>181</v>
      </c>
      <c r="F303" t="s">
        <v>26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  <c r="R303" s="3">
        <f t="shared" si="16"/>
        <v>39.01</v>
      </c>
      <c r="S303" t="str">
        <f t="shared" si="17"/>
        <v>December</v>
      </c>
      <c r="T303">
        <f t="shared" si="18"/>
        <v>12</v>
      </c>
      <c r="U303" t="str">
        <f t="shared" si="19"/>
        <v>Tuesday</v>
      </c>
    </row>
    <row r="304" spans="1:21" x14ac:dyDescent="0.2">
      <c r="A304" t="s">
        <v>342</v>
      </c>
      <c r="B304" t="s">
        <v>29</v>
      </c>
      <c r="C304" t="s">
        <v>30</v>
      </c>
      <c r="D304" t="s">
        <v>31</v>
      </c>
      <c r="E304" t="s">
        <v>181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33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3">
        <f t="shared" si="16"/>
        <v>48.61</v>
      </c>
      <c r="S304" t="str">
        <f t="shared" si="17"/>
        <v>February</v>
      </c>
      <c r="T304">
        <f t="shared" si="18"/>
        <v>2</v>
      </c>
      <c r="U304" t="str">
        <f t="shared" si="19"/>
        <v>Monday</v>
      </c>
    </row>
    <row r="305" spans="1:21" x14ac:dyDescent="0.2">
      <c r="A305" t="s">
        <v>343</v>
      </c>
      <c r="B305" t="s">
        <v>22</v>
      </c>
      <c r="C305" t="s">
        <v>23</v>
      </c>
      <c r="D305" t="s">
        <v>31</v>
      </c>
      <c r="E305" t="s">
        <v>25</v>
      </c>
      <c r="F305" t="s">
        <v>32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  <c r="R305" s="3">
        <f t="shared" si="16"/>
        <v>204.76</v>
      </c>
      <c r="S305" t="str">
        <f t="shared" si="17"/>
        <v>March</v>
      </c>
      <c r="T305">
        <f t="shared" si="18"/>
        <v>3</v>
      </c>
      <c r="U305" t="str">
        <f t="shared" si="19"/>
        <v>Monday</v>
      </c>
    </row>
    <row r="306" spans="1:21" x14ac:dyDescent="0.2">
      <c r="A306" t="s">
        <v>344</v>
      </c>
      <c r="B306" t="s">
        <v>45</v>
      </c>
      <c r="C306" t="s">
        <v>46</v>
      </c>
      <c r="D306" t="s">
        <v>31</v>
      </c>
      <c r="E306" t="s">
        <v>25</v>
      </c>
      <c r="F306" t="s">
        <v>32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33</v>
      </c>
      <c r="N306">
        <v>119.68</v>
      </c>
      <c r="O306">
        <v>4.7619047620000003</v>
      </c>
      <c r="P306">
        <v>5.984</v>
      </c>
      <c r="Q306">
        <v>8.6</v>
      </c>
      <c r="R306" s="3">
        <f t="shared" si="16"/>
        <v>119.68</v>
      </c>
      <c r="S306" t="str">
        <f t="shared" si="17"/>
        <v>February</v>
      </c>
      <c r="T306">
        <f t="shared" si="18"/>
        <v>2</v>
      </c>
      <c r="U306" t="str">
        <f t="shared" si="19"/>
        <v>Saturday</v>
      </c>
    </row>
    <row r="307" spans="1:21" x14ac:dyDescent="0.2">
      <c r="A307" t="s">
        <v>345</v>
      </c>
      <c r="B307" t="s">
        <v>22</v>
      </c>
      <c r="C307" t="s">
        <v>23</v>
      </c>
      <c r="D307" t="s">
        <v>24</v>
      </c>
      <c r="E307" t="s">
        <v>181</v>
      </c>
      <c r="F307" t="s">
        <v>32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27</v>
      </c>
      <c r="N307">
        <v>505.4</v>
      </c>
      <c r="O307">
        <v>4.7619047620000003</v>
      </c>
      <c r="P307">
        <v>25.27</v>
      </c>
      <c r="Q307">
        <v>4.3</v>
      </c>
      <c r="R307" s="3">
        <f t="shared" si="16"/>
        <v>505.40000000000003</v>
      </c>
      <c r="S307" t="str">
        <f t="shared" si="17"/>
        <v>March</v>
      </c>
      <c r="T307">
        <f t="shared" si="18"/>
        <v>3</v>
      </c>
      <c r="U307" t="str">
        <f t="shared" si="19"/>
        <v>Tuesday</v>
      </c>
    </row>
    <row r="308" spans="1:21" x14ac:dyDescent="0.2">
      <c r="A308" t="s">
        <v>346</v>
      </c>
      <c r="B308" t="s">
        <v>22</v>
      </c>
      <c r="C308" t="s">
        <v>23</v>
      </c>
      <c r="D308" t="s">
        <v>31</v>
      </c>
      <c r="E308" t="s">
        <v>25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33</v>
      </c>
      <c r="N308">
        <v>281.61</v>
      </c>
      <c r="O308">
        <v>4.7619047620000003</v>
      </c>
      <c r="P308">
        <v>14.080500000000001</v>
      </c>
      <c r="Q308">
        <v>9.6</v>
      </c>
      <c r="R308" s="3">
        <f t="shared" si="16"/>
        <v>281.60999999999996</v>
      </c>
      <c r="S308" t="str">
        <f t="shared" si="17"/>
        <v>March</v>
      </c>
      <c r="T308">
        <f t="shared" si="18"/>
        <v>3</v>
      </c>
      <c r="U308" t="str">
        <f t="shared" si="19"/>
        <v>Saturday</v>
      </c>
    </row>
    <row r="309" spans="1:21" x14ac:dyDescent="0.2">
      <c r="A309" t="s">
        <v>347</v>
      </c>
      <c r="B309" t="s">
        <v>22</v>
      </c>
      <c r="C309" t="s">
        <v>23</v>
      </c>
      <c r="D309" t="s">
        <v>24</v>
      </c>
      <c r="E309" t="s">
        <v>25</v>
      </c>
      <c r="F309" t="s">
        <v>35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33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3">
        <f t="shared" si="16"/>
        <v>710.32</v>
      </c>
      <c r="S309" t="str">
        <f t="shared" si="17"/>
        <v>February</v>
      </c>
      <c r="T309">
        <f t="shared" si="18"/>
        <v>2</v>
      </c>
      <c r="U309" t="str">
        <f t="shared" si="19"/>
        <v>Sunday</v>
      </c>
    </row>
    <row r="310" spans="1:21" x14ac:dyDescent="0.2">
      <c r="A310" t="s">
        <v>348</v>
      </c>
      <c r="B310" t="s">
        <v>22</v>
      </c>
      <c r="C310" t="s">
        <v>23</v>
      </c>
      <c r="D310" t="s">
        <v>24</v>
      </c>
      <c r="E310" t="s">
        <v>25</v>
      </c>
      <c r="F310" t="s">
        <v>32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27</v>
      </c>
      <c r="N310">
        <v>79.44</v>
      </c>
      <c r="O310">
        <v>4.7619047620000003</v>
      </c>
      <c r="P310">
        <v>3.972</v>
      </c>
      <c r="Q310">
        <v>4.7</v>
      </c>
      <c r="R310" s="3">
        <f t="shared" si="16"/>
        <v>79.44</v>
      </c>
      <c r="S310" t="str">
        <f t="shared" si="17"/>
        <v>March</v>
      </c>
      <c r="T310">
        <f t="shared" si="18"/>
        <v>3</v>
      </c>
      <c r="U310" t="str">
        <f t="shared" si="19"/>
        <v>Thursday</v>
      </c>
    </row>
    <row r="311" spans="1:21" x14ac:dyDescent="0.2">
      <c r="A311" t="s">
        <v>349</v>
      </c>
      <c r="B311" t="s">
        <v>22</v>
      </c>
      <c r="C311" t="s">
        <v>23</v>
      </c>
      <c r="D311" t="s">
        <v>31</v>
      </c>
      <c r="E311" t="s">
        <v>25</v>
      </c>
      <c r="F311" t="s">
        <v>49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33</v>
      </c>
      <c r="N311">
        <v>163.82</v>
      </c>
      <c r="O311">
        <v>4.7619047620000003</v>
      </c>
      <c r="P311">
        <v>8.1910000000000007</v>
      </c>
      <c r="Q311">
        <v>7.8</v>
      </c>
      <c r="R311" s="3">
        <f t="shared" si="16"/>
        <v>163.82</v>
      </c>
      <c r="S311" t="str">
        <f t="shared" si="17"/>
        <v>May</v>
      </c>
      <c r="T311">
        <f t="shared" si="18"/>
        <v>5</v>
      </c>
      <c r="U311" t="str">
        <f t="shared" si="19"/>
        <v>Friday</v>
      </c>
    </row>
    <row r="312" spans="1:21" x14ac:dyDescent="0.2">
      <c r="A312" t="s">
        <v>350</v>
      </c>
      <c r="B312" t="s">
        <v>45</v>
      </c>
      <c r="C312" t="s">
        <v>46</v>
      </c>
      <c r="D312" t="s">
        <v>24</v>
      </c>
      <c r="E312" t="s">
        <v>181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33</v>
      </c>
      <c r="N312">
        <v>479.58</v>
      </c>
      <c r="O312">
        <v>4.7619047620000003</v>
      </c>
      <c r="P312">
        <v>23.978999999999999</v>
      </c>
      <c r="Q312">
        <v>5.5</v>
      </c>
      <c r="R312" s="3">
        <f t="shared" si="16"/>
        <v>479.58000000000004</v>
      </c>
      <c r="S312" t="str">
        <f t="shared" si="17"/>
        <v>January</v>
      </c>
      <c r="T312">
        <f t="shared" si="18"/>
        <v>1</v>
      </c>
      <c r="U312" t="str">
        <f t="shared" si="19"/>
        <v>Thursday</v>
      </c>
    </row>
    <row r="313" spans="1:21" x14ac:dyDescent="0.2">
      <c r="A313" t="s">
        <v>351</v>
      </c>
      <c r="B313" t="s">
        <v>29</v>
      </c>
      <c r="C313" t="s">
        <v>30</v>
      </c>
      <c r="D313" t="s">
        <v>24</v>
      </c>
      <c r="E313" t="s">
        <v>181</v>
      </c>
      <c r="F313" t="s">
        <v>49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27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3">
        <f t="shared" si="16"/>
        <v>138.66</v>
      </c>
      <c r="S313" t="str">
        <f t="shared" si="17"/>
        <v>May</v>
      </c>
      <c r="T313">
        <f t="shared" si="18"/>
        <v>5</v>
      </c>
      <c r="U313" t="str">
        <f t="shared" si="19"/>
        <v>Thursday</v>
      </c>
    </row>
    <row r="314" spans="1:21" x14ac:dyDescent="0.2">
      <c r="A314" t="s">
        <v>352</v>
      </c>
      <c r="B314" t="s">
        <v>22</v>
      </c>
      <c r="C314" t="s">
        <v>23</v>
      </c>
      <c r="D314" t="s">
        <v>24</v>
      </c>
      <c r="E314" t="s">
        <v>25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3">
        <f t="shared" si="16"/>
        <v>71.150000000000006</v>
      </c>
      <c r="S314" t="str">
        <f t="shared" si="17"/>
        <v>January</v>
      </c>
      <c r="T314">
        <f t="shared" si="18"/>
        <v>1</v>
      </c>
      <c r="U314" t="str">
        <f t="shared" si="19"/>
        <v>Wednesday</v>
      </c>
    </row>
    <row r="315" spans="1:21" x14ac:dyDescent="0.2">
      <c r="A315" t="s">
        <v>353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33</v>
      </c>
      <c r="N315">
        <v>139.94999999999999</v>
      </c>
      <c r="O315">
        <v>4.7619047620000003</v>
      </c>
      <c r="P315">
        <v>6.9974999999999996</v>
      </c>
      <c r="Q315">
        <v>5</v>
      </c>
      <c r="R315" s="3">
        <f t="shared" si="16"/>
        <v>139.95000000000002</v>
      </c>
      <c r="S315" t="str">
        <f t="shared" si="17"/>
        <v>July</v>
      </c>
      <c r="T315">
        <f t="shared" si="18"/>
        <v>7</v>
      </c>
      <c r="U315" t="str">
        <f t="shared" si="19"/>
        <v>Wednesday</v>
      </c>
    </row>
    <row r="316" spans="1:21" x14ac:dyDescent="0.2">
      <c r="A316" t="s">
        <v>354</v>
      </c>
      <c r="B316" t="s">
        <v>29</v>
      </c>
      <c r="C316" t="s">
        <v>30</v>
      </c>
      <c r="D316" t="s">
        <v>24</v>
      </c>
      <c r="E316" t="s">
        <v>25</v>
      </c>
      <c r="F316" t="s">
        <v>32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33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3">
        <f t="shared" si="16"/>
        <v>781.3</v>
      </c>
      <c r="S316" t="str">
        <f t="shared" si="17"/>
        <v>October</v>
      </c>
      <c r="T316">
        <f t="shared" si="18"/>
        <v>10</v>
      </c>
      <c r="U316" t="str">
        <f t="shared" si="19"/>
        <v>Wednesday</v>
      </c>
    </row>
    <row r="317" spans="1:21" x14ac:dyDescent="0.2">
      <c r="A317" t="s">
        <v>355</v>
      </c>
      <c r="B317" t="s">
        <v>29</v>
      </c>
      <c r="C317" t="s">
        <v>30</v>
      </c>
      <c r="D317" t="s">
        <v>24</v>
      </c>
      <c r="E317" t="s">
        <v>181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33</v>
      </c>
      <c r="N317">
        <v>198.74</v>
      </c>
      <c r="O317">
        <v>4.7619047620000003</v>
      </c>
      <c r="P317">
        <v>9.9369999999999994</v>
      </c>
      <c r="Q317">
        <v>5.2</v>
      </c>
      <c r="R317" s="3">
        <f t="shared" si="16"/>
        <v>198.74</v>
      </c>
      <c r="S317" t="str">
        <f t="shared" si="17"/>
        <v>February</v>
      </c>
      <c r="T317">
        <f t="shared" si="18"/>
        <v>2</v>
      </c>
      <c r="U317" t="str">
        <f t="shared" si="19"/>
        <v>Thursday</v>
      </c>
    </row>
    <row r="318" spans="1:21" x14ac:dyDescent="0.2">
      <c r="A318" t="s">
        <v>356</v>
      </c>
      <c r="B318" t="s">
        <v>29</v>
      </c>
      <c r="C318" t="s">
        <v>30</v>
      </c>
      <c r="D318" t="s">
        <v>24</v>
      </c>
      <c r="E318" t="s">
        <v>25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33</v>
      </c>
      <c r="N318">
        <v>63.24</v>
      </c>
      <c r="O318">
        <v>4.7619047620000003</v>
      </c>
      <c r="P318">
        <v>3.1619999999999999</v>
      </c>
      <c r="Q318">
        <v>7.3</v>
      </c>
      <c r="R318" s="3">
        <f t="shared" si="16"/>
        <v>63.239999999999995</v>
      </c>
      <c r="S318" t="str">
        <f t="shared" si="17"/>
        <v>September</v>
      </c>
      <c r="T318">
        <f t="shared" si="18"/>
        <v>9</v>
      </c>
      <c r="U318" t="str">
        <f t="shared" si="19"/>
        <v>Monday</v>
      </c>
    </row>
    <row r="319" spans="1:21" x14ac:dyDescent="0.2">
      <c r="A319" t="s">
        <v>357</v>
      </c>
      <c r="B319" t="s">
        <v>29</v>
      </c>
      <c r="C319" t="s">
        <v>30</v>
      </c>
      <c r="D319" t="s">
        <v>24</v>
      </c>
      <c r="E319" t="s">
        <v>181</v>
      </c>
      <c r="F319" t="s">
        <v>32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33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3">
        <f t="shared" si="16"/>
        <v>373.95000000000005</v>
      </c>
      <c r="S319" t="str">
        <f t="shared" si="17"/>
        <v>October</v>
      </c>
      <c r="T319">
        <f t="shared" si="18"/>
        <v>10</v>
      </c>
      <c r="U319" t="str">
        <f t="shared" si="19"/>
        <v>Tuesday</v>
      </c>
    </row>
    <row r="320" spans="1:21" x14ac:dyDescent="0.2">
      <c r="A320" t="s">
        <v>358</v>
      </c>
      <c r="B320" t="s">
        <v>29</v>
      </c>
      <c r="C320" t="s">
        <v>30</v>
      </c>
      <c r="D320" t="s">
        <v>24</v>
      </c>
      <c r="E320" t="s">
        <v>25</v>
      </c>
      <c r="F320" t="s">
        <v>26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  <c r="R320" s="3">
        <f t="shared" si="16"/>
        <v>207.69</v>
      </c>
      <c r="S320" t="str">
        <f t="shared" si="17"/>
        <v>November</v>
      </c>
      <c r="T320">
        <f t="shared" si="18"/>
        <v>11</v>
      </c>
      <c r="U320" t="str">
        <f t="shared" si="19"/>
        <v>Sunday</v>
      </c>
    </row>
    <row r="321" spans="1:21" x14ac:dyDescent="0.2">
      <c r="A321" t="s">
        <v>359</v>
      </c>
      <c r="B321" t="s">
        <v>29</v>
      </c>
      <c r="C321" t="s">
        <v>30</v>
      </c>
      <c r="D321" t="s">
        <v>24</v>
      </c>
      <c r="E321" t="s">
        <v>181</v>
      </c>
      <c r="F321" t="s">
        <v>26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27</v>
      </c>
      <c r="N321">
        <v>176.28</v>
      </c>
      <c r="O321">
        <v>4.7619047620000003</v>
      </c>
      <c r="P321">
        <v>8.8140000000000001</v>
      </c>
      <c r="Q321">
        <v>8.4</v>
      </c>
      <c r="R321" s="3">
        <f t="shared" si="16"/>
        <v>176.28</v>
      </c>
      <c r="S321" t="str">
        <f t="shared" si="17"/>
        <v>February</v>
      </c>
      <c r="T321">
        <f t="shared" si="18"/>
        <v>2</v>
      </c>
      <c r="U321" t="str">
        <f t="shared" si="19"/>
        <v>Monday</v>
      </c>
    </row>
    <row r="322" spans="1:21" x14ac:dyDescent="0.2">
      <c r="A322" t="s">
        <v>360</v>
      </c>
      <c r="B322" t="s">
        <v>29</v>
      </c>
      <c r="C322" t="s">
        <v>30</v>
      </c>
      <c r="D322" t="s">
        <v>31</v>
      </c>
      <c r="E322" t="s">
        <v>25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33</v>
      </c>
      <c r="N322">
        <v>206.37</v>
      </c>
      <c r="O322">
        <v>4.7619047620000003</v>
      </c>
      <c r="P322">
        <v>10.3185</v>
      </c>
      <c r="Q322">
        <v>5.5</v>
      </c>
      <c r="R322" s="3">
        <f t="shared" si="16"/>
        <v>206.37</v>
      </c>
      <c r="S322" t="str">
        <f t="shared" si="17"/>
        <v>February</v>
      </c>
      <c r="T322">
        <f t="shared" si="18"/>
        <v>2</v>
      </c>
      <c r="U322" t="str">
        <f t="shared" si="19"/>
        <v>Tuesday</v>
      </c>
    </row>
    <row r="323" spans="1:21" x14ac:dyDescent="0.2">
      <c r="A323" t="s">
        <v>361</v>
      </c>
      <c r="B323" t="s">
        <v>29</v>
      </c>
      <c r="C323" t="s">
        <v>30</v>
      </c>
      <c r="D323" t="s">
        <v>31</v>
      </c>
      <c r="E323" t="s">
        <v>25</v>
      </c>
      <c r="F323" t="s">
        <v>26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33</v>
      </c>
      <c r="N323">
        <v>39.42</v>
      </c>
      <c r="O323">
        <v>4.7619047620000003</v>
      </c>
      <c r="P323">
        <v>1.9710000000000001</v>
      </c>
      <c r="Q323">
        <v>8.4</v>
      </c>
      <c r="R323" s="3">
        <f t="shared" ref="R323:R386" si="20">H323*G323</f>
        <v>39.42</v>
      </c>
      <c r="S323" t="str">
        <f t="shared" ref="S323:S386" si="21">TEXT(K323,"mmmm")</f>
        <v>January</v>
      </c>
      <c r="T323">
        <f t="shared" ref="T323:T386" si="22">MONTH(K323)</f>
        <v>1</v>
      </c>
      <c r="U323" t="str">
        <f t="shared" ref="U323:U386" si="23">TEXT(K323,"dddd")</f>
        <v>Friday</v>
      </c>
    </row>
    <row r="324" spans="1:21" x14ac:dyDescent="0.2">
      <c r="A324" t="s">
        <v>362</v>
      </c>
      <c r="B324" t="s">
        <v>22</v>
      </c>
      <c r="C324" t="s">
        <v>23</v>
      </c>
      <c r="D324" t="s">
        <v>31</v>
      </c>
      <c r="E324" t="s">
        <v>181</v>
      </c>
      <c r="F324" t="s">
        <v>26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27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3">
        <f t="shared" si="20"/>
        <v>91.56</v>
      </c>
      <c r="S324" t="str">
        <f t="shared" si="21"/>
        <v>February</v>
      </c>
      <c r="T324">
        <f t="shared" si="22"/>
        <v>2</v>
      </c>
      <c r="U324" t="str">
        <f t="shared" si="23"/>
        <v>Friday</v>
      </c>
    </row>
    <row r="325" spans="1:21" x14ac:dyDescent="0.2">
      <c r="A325" t="s">
        <v>363</v>
      </c>
      <c r="B325" t="s">
        <v>22</v>
      </c>
      <c r="C325" t="s">
        <v>23</v>
      </c>
      <c r="D325" t="s">
        <v>31</v>
      </c>
      <c r="E325" t="s">
        <v>25</v>
      </c>
      <c r="F325" t="s">
        <v>49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33</v>
      </c>
      <c r="N325">
        <v>308.85000000000002</v>
      </c>
      <c r="O325">
        <v>4.7619047620000003</v>
      </c>
      <c r="P325">
        <v>15.442500000000001</v>
      </c>
      <c r="Q325">
        <v>6.7</v>
      </c>
      <c r="R325" s="3">
        <f t="shared" si="20"/>
        <v>308.85000000000002</v>
      </c>
      <c r="S325" t="str">
        <f t="shared" si="21"/>
        <v>August</v>
      </c>
      <c r="T325">
        <f t="shared" si="22"/>
        <v>8</v>
      </c>
      <c r="U325" t="str">
        <f t="shared" si="23"/>
        <v>Saturday</v>
      </c>
    </row>
    <row r="326" spans="1:21" x14ac:dyDescent="0.2">
      <c r="A326" t="s">
        <v>364</v>
      </c>
      <c r="B326" t="s">
        <v>22</v>
      </c>
      <c r="C326" t="s">
        <v>23</v>
      </c>
      <c r="D326" t="s">
        <v>31</v>
      </c>
      <c r="E326" t="s">
        <v>181</v>
      </c>
      <c r="F326" t="s">
        <v>35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  <c r="R326" s="3">
        <f t="shared" si="20"/>
        <v>129.12</v>
      </c>
      <c r="S326" t="str">
        <f t="shared" si="21"/>
        <v>January</v>
      </c>
      <c r="T326">
        <f t="shared" si="22"/>
        <v>1</v>
      </c>
      <c r="U326" t="str">
        <f t="shared" si="23"/>
        <v>Thursday</v>
      </c>
    </row>
    <row r="327" spans="1:21" x14ac:dyDescent="0.2">
      <c r="A327" t="s">
        <v>365</v>
      </c>
      <c r="B327" t="s">
        <v>45</v>
      </c>
      <c r="C327" t="s">
        <v>46</v>
      </c>
      <c r="D327" t="s">
        <v>31</v>
      </c>
      <c r="E327" t="s">
        <v>181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27</v>
      </c>
      <c r="N327">
        <v>390.96</v>
      </c>
      <c r="O327">
        <v>4.7619047620000003</v>
      </c>
      <c r="P327">
        <v>19.547999999999998</v>
      </c>
      <c r="Q327">
        <v>6.4</v>
      </c>
      <c r="R327" s="3">
        <f t="shared" si="20"/>
        <v>390.96</v>
      </c>
      <c r="S327" t="str">
        <f t="shared" si="21"/>
        <v>December</v>
      </c>
      <c r="T327">
        <f t="shared" si="22"/>
        <v>12</v>
      </c>
      <c r="U327" t="str">
        <f t="shared" si="23"/>
        <v>Tuesday</v>
      </c>
    </row>
    <row r="328" spans="1:21" x14ac:dyDescent="0.2">
      <c r="A328" t="s">
        <v>366</v>
      </c>
      <c r="B328" t="s">
        <v>22</v>
      </c>
      <c r="C328" t="s">
        <v>23</v>
      </c>
      <c r="D328" t="s">
        <v>24</v>
      </c>
      <c r="E328" t="s">
        <v>181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33</v>
      </c>
      <c r="N328">
        <v>498.9</v>
      </c>
      <c r="O328">
        <v>4.7619047620000003</v>
      </c>
      <c r="P328">
        <v>24.945</v>
      </c>
      <c r="Q328">
        <v>5.4</v>
      </c>
      <c r="R328" s="3">
        <f t="shared" si="20"/>
        <v>498.9</v>
      </c>
      <c r="S328" t="str">
        <f t="shared" si="21"/>
        <v>September</v>
      </c>
      <c r="T328">
        <f t="shared" si="22"/>
        <v>9</v>
      </c>
      <c r="U328" t="str">
        <f t="shared" si="23"/>
        <v>Tuesday</v>
      </c>
    </row>
    <row r="329" spans="1:21" x14ac:dyDescent="0.2">
      <c r="A329" t="s">
        <v>367</v>
      </c>
      <c r="B329" t="s">
        <v>29</v>
      </c>
      <c r="C329" t="s">
        <v>30</v>
      </c>
      <c r="D329" t="s">
        <v>24</v>
      </c>
      <c r="E329" t="s">
        <v>181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33</v>
      </c>
      <c r="N329">
        <v>377.04</v>
      </c>
      <c r="O329">
        <v>4.7619047620000003</v>
      </c>
      <c r="P329">
        <v>18.852</v>
      </c>
      <c r="Q329">
        <v>8.6</v>
      </c>
      <c r="R329" s="3">
        <f t="shared" si="20"/>
        <v>377.04</v>
      </c>
      <c r="S329" t="str">
        <f t="shared" si="21"/>
        <v>December</v>
      </c>
      <c r="T329">
        <f t="shared" si="22"/>
        <v>12</v>
      </c>
      <c r="U329" t="str">
        <f t="shared" si="23"/>
        <v>Tuesday</v>
      </c>
    </row>
    <row r="330" spans="1:21" x14ac:dyDescent="0.2">
      <c r="A330" t="s">
        <v>368</v>
      </c>
      <c r="B330" t="s">
        <v>45</v>
      </c>
      <c r="C330" t="s">
        <v>46</v>
      </c>
      <c r="D330" t="s">
        <v>24</v>
      </c>
      <c r="E330" t="s">
        <v>181</v>
      </c>
      <c r="F330" t="s">
        <v>26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  <c r="R330" s="3">
        <f t="shared" si="20"/>
        <v>204.52</v>
      </c>
      <c r="S330" t="str">
        <f t="shared" si="21"/>
        <v>January</v>
      </c>
      <c r="T330">
        <f t="shared" si="22"/>
        <v>1</v>
      </c>
      <c r="U330" t="str">
        <f t="shared" si="23"/>
        <v>Friday</v>
      </c>
    </row>
    <row r="331" spans="1:21" x14ac:dyDescent="0.2">
      <c r="A331" t="s">
        <v>369</v>
      </c>
      <c r="B331" t="s">
        <v>22</v>
      </c>
      <c r="C331" t="s">
        <v>23</v>
      </c>
      <c r="D331" t="s">
        <v>24</v>
      </c>
      <c r="E331" t="s">
        <v>181</v>
      </c>
      <c r="F331" t="s">
        <v>32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33</v>
      </c>
      <c r="N331">
        <v>145.44</v>
      </c>
      <c r="O331">
        <v>4.7619047620000003</v>
      </c>
      <c r="P331">
        <v>7.2720000000000002</v>
      </c>
      <c r="Q331">
        <v>7.6</v>
      </c>
      <c r="R331" s="3">
        <f t="shared" si="20"/>
        <v>145.44</v>
      </c>
      <c r="S331" t="str">
        <f t="shared" si="21"/>
        <v>March</v>
      </c>
      <c r="T331">
        <f t="shared" si="22"/>
        <v>3</v>
      </c>
      <c r="U331" t="str">
        <f t="shared" si="23"/>
        <v>Monday</v>
      </c>
    </row>
    <row r="332" spans="1:21" x14ac:dyDescent="0.2">
      <c r="A332" t="s">
        <v>370</v>
      </c>
      <c r="B332" t="s">
        <v>45</v>
      </c>
      <c r="C332" t="s">
        <v>46</v>
      </c>
      <c r="D332" t="s">
        <v>31</v>
      </c>
      <c r="E332" t="s">
        <v>181</v>
      </c>
      <c r="F332" t="s">
        <v>35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33</v>
      </c>
      <c r="N332">
        <v>198.18</v>
      </c>
      <c r="O332">
        <v>4.7619047620000003</v>
      </c>
      <c r="P332">
        <v>9.9090000000000007</v>
      </c>
      <c r="Q332">
        <v>6.8</v>
      </c>
      <c r="R332" s="3">
        <f t="shared" si="20"/>
        <v>198.18</v>
      </c>
      <c r="S332" t="str">
        <f t="shared" si="21"/>
        <v>July</v>
      </c>
      <c r="T332">
        <f t="shared" si="22"/>
        <v>7</v>
      </c>
      <c r="U332" t="str">
        <f t="shared" si="23"/>
        <v>Tuesday</v>
      </c>
    </row>
    <row r="333" spans="1:21" x14ac:dyDescent="0.2">
      <c r="A333" t="s">
        <v>371</v>
      </c>
      <c r="B333" t="s">
        <v>22</v>
      </c>
      <c r="C333" t="s">
        <v>23</v>
      </c>
      <c r="D333" t="s">
        <v>31</v>
      </c>
      <c r="E333" t="s">
        <v>181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  <c r="R333" s="3">
        <f t="shared" si="20"/>
        <v>98.699999999999989</v>
      </c>
      <c r="S333" t="str">
        <f t="shared" si="21"/>
        <v>February</v>
      </c>
      <c r="T333">
        <f t="shared" si="22"/>
        <v>2</v>
      </c>
      <c r="U333" t="str">
        <f t="shared" si="23"/>
        <v>Sunday</v>
      </c>
    </row>
    <row r="334" spans="1:21" x14ac:dyDescent="0.2">
      <c r="A334" t="s">
        <v>372</v>
      </c>
      <c r="B334" t="s">
        <v>22</v>
      </c>
      <c r="C334" t="s">
        <v>23</v>
      </c>
      <c r="D334" t="s">
        <v>31</v>
      </c>
      <c r="E334" t="s">
        <v>181</v>
      </c>
      <c r="F334" t="s">
        <v>49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33</v>
      </c>
      <c r="N334">
        <v>385.1</v>
      </c>
      <c r="O334">
        <v>4.7619047620000003</v>
      </c>
      <c r="P334">
        <v>19.254999999999999</v>
      </c>
      <c r="Q334">
        <v>5.5</v>
      </c>
      <c r="R334" s="3">
        <f t="shared" si="20"/>
        <v>385.09999999999997</v>
      </c>
      <c r="S334" t="str">
        <f t="shared" si="21"/>
        <v>March</v>
      </c>
      <c r="T334">
        <f t="shared" si="22"/>
        <v>3</v>
      </c>
      <c r="U334" t="str">
        <f t="shared" si="23"/>
        <v>Saturday</v>
      </c>
    </row>
    <row r="335" spans="1:21" x14ac:dyDescent="0.2">
      <c r="A335" t="s">
        <v>373</v>
      </c>
      <c r="B335" t="s">
        <v>22</v>
      </c>
      <c r="C335" t="s">
        <v>23</v>
      </c>
      <c r="D335" t="s">
        <v>24</v>
      </c>
      <c r="E335" t="s">
        <v>181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  <c r="R335" s="3">
        <f t="shared" si="20"/>
        <v>46.96</v>
      </c>
      <c r="S335" t="str">
        <f t="shared" si="21"/>
        <v>March</v>
      </c>
      <c r="T335">
        <f t="shared" si="22"/>
        <v>3</v>
      </c>
      <c r="U335" t="str">
        <f t="shared" si="23"/>
        <v>Thursday</v>
      </c>
    </row>
    <row r="336" spans="1:21" x14ac:dyDescent="0.2">
      <c r="A336" t="s">
        <v>374</v>
      </c>
      <c r="B336" t="s">
        <v>29</v>
      </c>
      <c r="C336" t="s">
        <v>30</v>
      </c>
      <c r="D336" t="s">
        <v>24</v>
      </c>
      <c r="E336" t="s">
        <v>181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27</v>
      </c>
      <c r="N336">
        <v>73.5</v>
      </c>
      <c r="O336">
        <v>4.7619047620000003</v>
      </c>
      <c r="P336">
        <v>3.6749999999999998</v>
      </c>
      <c r="Q336">
        <v>8.5</v>
      </c>
      <c r="R336" s="3">
        <f t="shared" si="20"/>
        <v>73.5</v>
      </c>
      <c r="S336" t="str">
        <f t="shared" si="21"/>
        <v>March</v>
      </c>
      <c r="T336">
        <f t="shared" si="22"/>
        <v>3</v>
      </c>
      <c r="U336" t="str">
        <f t="shared" si="23"/>
        <v>Sunday</v>
      </c>
    </row>
    <row r="337" spans="1:21" x14ac:dyDescent="0.2">
      <c r="A337" t="s">
        <v>375</v>
      </c>
      <c r="B337" t="s">
        <v>22</v>
      </c>
      <c r="C337" t="s">
        <v>23</v>
      </c>
      <c r="D337" t="s">
        <v>24</v>
      </c>
      <c r="E337" t="s">
        <v>25</v>
      </c>
      <c r="F337" t="s">
        <v>32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  <c r="R337" s="3">
        <f t="shared" si="20"/>
        <v>142.25</v>
      </c>
      <c r="S337" t="str">
        <f t="shared" si="21"/>
        <v>March</v>
      </c>
      <c r="T337">
        <f t="shared" si="22"/>
        <v>3</v>
      </c>
      <c r="U337" t="str">
        <f t="shared" si="23"/>
        <v>Thursday</v>
      </c>
    </row>
    <row r="338" spans="1:21" x14ac:dyDescent="0.2">
      <c r="A338" t="s">
        <v>376</v>
      </c>
      <c r="B338" t="s">
        <v>22</v>
      </c>
      <c r="C338" t="s">
        <v>23</v>
      </c>
      <c r="D338" t="s">
        <v>31</v>
      </c>
      <c r="E338" t="s">
        <v>181</v>
      </c>
      <c r="F338" t="s">
        <v>49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27</v>
      </c>
      <c r="N338">
        <v>687.6</v>
      </c>
      <c r="O338">
        <v>4.7619047620000003</v>
      </c>
      <c r="P338">
        <v>34.380000000000003</v>
      </c>
      <c r="Q338">
        <v>7.5</v>
      </c>
      <c r="R338" s="3">
        <f t="shared" si="20"/>
        <v>687.6</v>
      </c>
      <c r="S338" t="str">
        <f t="shared" si="21"/>
        <v>March</v>
      </c>
      <c r="T338">
        <f t="shared" si="22"/>
        <v>3</v>
      </c>
      <c r="U338" t="str">
        <f t="shared" si="23"/>
        <v>Tuesday</v>
      </c>
    </row>
    <row r="339" spans="1:21" x14ac:dyDescent="0.2">
      <c r="A339" t="s">
        <v>377</v>
      </c>
      <c r="B339" t="s">
        <v>45</v>
      </c>
      <c r="C339" t="s">
        <v>46</v>
      </c>
      <c r="D339" t="s">
        <v>31</v>
      </c>
      <c r="E339" t="s">
        <v>25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33</v>
      </c>
      <c r="N339">
        <v>347.7</v>
      </c>
      <c r="O339">
        <v>4.7619047620000003</v>
      </c>
      <c r="P339">
        <v>17.385000000000002</v>
      </c>
      <c r="Q339">
        <v>5.2</v>
      </c>
      <c r="R339" s="3">
        <f t="shared" si="20"/>
        <v>347.70000000000005</v>
      </c>
      <c r="S339" t="str">
        <f t="shared" si="21"/>
        <v>February</v>
      </c>
      <c r="T339">
        <f t="shared" si="22"/>
        <v>2</v>
      </c>
      <c r="U339" t="str">
        <f t="shared" si="23"/>
        <v>Sunday</v>
      </c>
    </row>
    <row r="340" spans="1:21" x14ac:dyDescent="0.2">
      <c r="A340" t="s">
        <v>378</v>
      </c>
      <c r="B340" t="s">
        <v>29</v>
      </c>
      <c r="C340" t="s">
        <v>30</v>
      </c>
      <c r="D340" t="s">
        <v>31</v>
      </c>
      <c r="E340" t="s">
        <v>25</v>
      </c>
      <c r="F340" t="s">
        <v>32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  <c r="R340" s="3">
        <f t="shared" si="20"/>
        <v>142.94999999999999</v>
      </c>
      <c r="S340" t="str">
        <f t="shared" si="21"/>
        <v>March</v>
      </c>
      <c r="T340">
        <f t="shared" si="22"/>
        <v>3</v>
      </c>
      <c r="U340" t="str">
        <f t="shared" si="23"/>
        <v>Thursday</v>
      </c>
    </row>
    <row r="341" spans="1:21" x14ac:dyDescent="0.2">
      <c r="A341" t="s">
        <v>379</v>
      </c>
      <c r="B341" t="s">
        <v>45</v>
      </c>
      <c r="C341" t="s">
        <v>46</v>
      </c>
      <c r="D341" t="s">
        <v>24</v>
      </c>
      <c r="E341" t="s">
        <v>25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  <c r="R341" s="3">
        <f t="shared" si="20"/>
        <v>385.38</v>
      </c>
      <c r="S341" t="str">
        <f t="shared" si="21"/>
        <v>May</v>
      </c>
      <c r="T341">
        <f t="shared" si="22"/>
        <v>5</v>
      </c>
      <c r="U341" t="str">
        <f t="shared" si="23"/>
        <v>Thursday</v>
      </c>
    </row>
    <row r="342" spans="1:21" x14ac:dyDescent="0.2">
      <c r="A342" t="s">
        <v>380</v>
      </c>
      <c r="B342" t="s">
        <v>45</v>
      </c>
      <c r="C342" t="s">
        <v>46</v>
      </c>
      <c r="D342" t="s">
        <v>24</v>
      </c>
      <c r="E342" t="s">
        <v>181</v>
      </c>
      <c r="F342" t="s">
        <v>32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  <c r="R342" s="3">
        <f t="shared" si="20"/>
        <v>144.27000000000001</v>
      </c>
      <c r="S342" t="str">
        <f t="shared" si="21"/>
        <v>October</v>
      </c>
      <c r="T342">
        <f t="shared" si="22"/>
        <v>10</v>
      </c>
      <c r="U342" t="str">
        <f t="shared" si="23"/>
        <v>Wednesday</v>
      </c>
    </row>
    <row r="343" spans="1:21" x14ac:dyDescent="0.2">
      <c r="A343" t="s">
        <v>381</v>
      </c>
      <c r="B343" t="s">
        <v>45</v>
      </c>
      <c r="C343" t="s">
        <v>46</v>
      </c>
      <c r="D343" t="s">
        <v>24</v>
      </c>
      <c r="E343" t="s">
        <v>25</v>
      </c>
      <c r="F343" t="s">
        <v>26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27</v>
      </c>
      <c r="N343">
        <v>391.79</v>
      </c>
      <c r="O343">
        <v>4.7619047620000003</v>
      </c>
      <c r="P343">
        <v>19.589500000000001</v>
      </c>
      <c r="Q343">
        <v>8.9</v>
      </c>
      <c r="R343" s="3">
        <f t="shared" si="20"/>
        <v>391.78999999999996</v>
      </c>
      <c r="S343" t="str">
        <f t="shared" si="21"/>
        <v>May</v>
      </c>
      <c r="T343">
        <f t="shared" si="22"/>
        <v>5</v>
      </c>
      <c r="U343" t="str">
        <f t="shared" si="23"/>
        <v>Friday</v>
      </c>
    </row>
    <row r="344" spans="1:21" x14ac:dyDescent="0.2">
      <c r="A344" t="s">
        <v>382</v>
      </c>
      <c r="B344" t="s">
        <v>45</v>
      </c>
      <c r="C344" t="s">
        <v>46</v>
      </c>
      <c r="D344" t="s">
        <v>24</v>
      </c>
      <c r="E344" t="s">
        <v>25</v>
      </c>
      <c r="F344" t="s">
        <v>26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33</v>
      </c>
      <c r="N344">
        <v>538.29999999999995</v>
      </c>
      <c r="O344">
        <v>4.7619047620000003</v>
      </c>
      <c r="P344">
        <v>26.914999999999999</v>
      </c>
      <c r="Q344">
        <v>7.7</v>
      </c>
      <c r="R344" s="3">
        <f t="shared" si="20"/>
        <v>538.30000000000007</v>
      </c>
      <c r="S344" t="str">
        <f t="shared" si="21"/>
        <v>February</v>
      </c>
      <c r="T344">
        <f t="shared" si="22"/>
        <v>2</v>
      </c>
      <c r="U344" t="str">
        <f t="shared" si="23"/>
        <v>Friday</v>
      </c>
    </row>
    <row r="345" spans="1:21" x14ac:dyDescent="0.2">
      <c r="A345" t="s">
        <v>383</v>
      </c>
      <c r="B345" t="s">
        <v>29</v>
      </c>
      <c r="C345" t="s">
        <v>30</v>
      </c>
      <c r="D345" t="s">
        <v>31</v>
      </c>
      <c r="E345" t="s">
        <v>25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27</v>
      </c>
      <c r="N345">
        <v>485.15</v>
      </c>
      <c r="O345">
        <v>4.7619047620000003</v>
      </c>
      <c r="P345">
        <v>24.2575</v>
      </c>
      <c r="Q345">
        <v>9.3000000000000007</v>
      </c>
      <c r="R345" s="3">
        <f t="shared" si="20"/>
        <v>485.15</v>
      </c>
      <c r="S345" t="str">
        <f t="shared" si="21"/>
        <v>January</v>
      </c>
      <c r="T345">
        <f t="shared" si="22"/>
        <v>1</v>
      </c>
      <c r="U345" t="str">
        <f t="shared" si="23"/>
        <v>Wednesday</v>
      </c>
    </row>
    <row r="346" spans="1:21" x14ac:dyDescent="0.2">
      <c r="A346" t="s">
        <v>384</v>
      </c>
      <c r="B346" t="s">
        <v>22</v>
      </c>
      <c r="C346" t="s">
        <v>23</v>
      </c>
      <c r="D346" t="s">
        <v>31</v>
      </c>
      <c r="E346" t="s">
        <v>181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33</v>
      </c>
      <c r="N346">
        <v>133.94999999999999</v>
      </c>
      <c r="O346">
        <v>4.7619047620000003</v>
      </c>
      <c r="P346">
        <v>6.6974999999999998</v>
      </c>
      <c r="Q346">
        <v>6.2</v>
      </c>
      <c r="R346" s="3">
        <f t="shared" si="20"/>
        <v>133.94999999999999</v>
      </c>
      <c r="S346" t="str">
        <f t="shared" si="21"/>
        <v>February</v>
      </c>
      <c r="T346">
        <f t="shared" si="22"/>
        <v>2</v>
      </c>
      <c r="U346" t="str">
        <f t="shared" si="23"/>
        <v>Thursday</v>
      </c>
    </row>
    <row r="347" spans="1:21" x14ac:dyDescent="0.2">
      <c r="A347" t="s">
        <v>385</v>
      </c>
      <c r="B347" t="s">
        <v>22</v>
      </c>
      <c r="C347" t="s">
        <v>23</v>
      </c>
      <c r="D347" t="s">
        <v>31</v>
      </c>
      <c r="E347" t="s">
        <v>25</v>
      </c>
      <c r="F347" t="s">
        <v>49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27</v>
      </c>
      <c r="N347">
        <v>701.37</v>
      </c>
      <c r="O347">
        <v>4.7619047620000003</v>
      </c>
      <c r="P347">
        <v>35.0685</v>
      </c>
      <c r="Q347">
        <v>7.6</v>
      </c>
      <c r="R347" s="3">
        <f t="shared" si="20"/>
        <v>701.37000000000012</v>
      </c>
      <c r="S347" t="str">
        <f t="shared" si="21"/>
        <v>February</v>
      </c>
      <c r="T347">
        <f t="shared" si="22"/>
        <v>2</v>
      </c>
      <c r="U347" t="str">
        <f t="shared" si="23"/>
        <v>Wednesday</v>
      </c>
    </row>
    <row r="348" spans="1:21" x14ac:dyDescent="0.2">
      <c r="A348" t="s">
        <v>386</v>
      </c>
      <c r="B348" t="s">
        <v>22</v>
      </c>
      <c r="C348" t="s">
        <v>23</v>
      </c>
      <c r="D348" t="s">
        <v>24</v>
      </c>
      <c r="E348" t="s">
        <v>181</v>
      </c>
      <c r="F348" t="s">
        <v>32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33</v>
      </c>
      <c r="N348">
        <v>71.95</v>
      </c>
      <c r="O348">
        <v>4.7619047620000003</v>
      </c>
      <c r="P348">
        <v>3.5975000000000001</v>
      </c>
      <c r="Q348">
        <v>7.3</v>
      </c>
      <c r="R348" s="3">
        <f t="shared" si="20"/>
        <v>71.95</v>
      </c>
      <c r="S348" t="str">
        <f t="shared" si="21"/>
        <v>April</v>
      </c>
      <c r="T348">
        <f t="shared" si="22"/>
        <v>4</v>
      </c>
      <c r="U348" t="str">
        <f t="shared" si="23"/>
        <v>Tuesday</v>
      </c>
    </row>
    <row r="349" spans="1:21" x14ac:dyDescent="0.2">
      <c r="A349" t="s">
        <v>387</v>
      </c>
      <c r="B349" t="s">
        <v>29</v>
      </c>
      <c r="C349" t="s">
        <v>30</v>
      </c>
      <c r="D349" t="s">
        <v>24</v>
      </c>
      <c r="E349" t="s">
        <v>25</v>
      </c>
      <c r="F349" t="s">
        <v>35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33</v>
      </c>
      <c r="N349">
        <v>714</v>
      </c>
      <c r="O349">
        <v>4.7619047620000003</v>
      </c>
      <c r="P349">
        <v>35.700000000000003</v>
      </c>
      <c r="Q349">
        <v>4.7</v>
      </c>
      <c r="R349" s="3">
        <f t="shared" si="20"/>
        <v>714</v>
      </c>
      <c r="S349" t="str">
        <f t="shared" si="21"/>
        <v>January</v>
      </c>
      <c r="T349">
        <f t="shared" si="22"/>
        <v>1</v>
      </c>
      <c r="U349" t="str">
        <f t="shared" si="23"/>
        <v>Sunday</v>
      </c>
    </row>
    <row r="350" spans="1:21" x14ac:dyDescent="0.2">
      <c r="A350" t="s">
        <v>388</v>
      </c>
      <c r="B350" t="s">
        <v>22</v>
      </c>
      <c r="C350" t="s">
        <v>23</v>
      </c>
      <c r="D350" t="s">
        <v>31</v>
      </c>
      <c r="E350" t="s">
        <v>181</v>
      </c>
      <c r="F350" t="s">
        <v>32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33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3">
        <f t="shared" si="20"/>
        <v>182.14</v>
      </c>
      <c r="S350" t="str">
        <f t="shared" si="21"/>
        <v>March</v>
      </c>
      <c r="T350">
        <f t="shared" si="22"/>
        <v>3</v>
      </c>
      <c r="U350" t="str">
        <f t="shared" si="23"/>
        <v>Thursday</v>
      </c>
    </row>
    <row r="351" spans="1:21" x14ac:dyDescent="0.2">
      <c r="A351" t="s">
        <v>389</v>
      </c>
      <c r="B351" t="s">
        <v>45</v>
      </c>
      <c r="C351" t="s">
        <v>46</v>
      </c>
      <c r="D351" t="s">
        <v>31</v>
      </c>
      <c r="E351" t="s">
        <v>25</v>
      </c>
      <c r="F351" t="s">
        <v>26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  <c r="R351" s="3">
        <f t="shared" si="20"/>
        <v>135</v>
      </c>
      <c r="S351" t="str">
        <f t="shared" si="21"/>
        <v>February</v>
      </c>
      <c r="T351">
        <f t="shared" si="22"/>
        <v>2</v>
      </c>
      <c r="U351" t="str">
        <f t="shared" si="23"/>
        <v>Wednesday</v>
      </c>
    </row>
    <row r="352" spans="1:21" x14ac:dyDescent="0.2">
      <c r="A352" t="s">
        <v>390</v>
      </c>
      <c r="B352" t="s">
        <v>29</v>
      </c>
      <c r="C352" t="s">
        <v>30</v>
      </c>
      <c r="D352" t="s">
        <v>24</v>
      </c>
      <c r="E352" t="s">
        <v>25</v>
      </c>
      <c r="F352" t="s">
        <v>49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  <c r="R352" s="3">
        <f t="shared" si="20"/>
        <v>993</v>
      </c>
      <c r="S352" t="str">
        <f t="shared" si="21"/>
        <v>February</v>
      </c>
      <c r="T352">
        <f t="shared" si="22"/>
        <v>2</v>
      </c>
      <c r="U352" t="str">
        <f t="shared" si="23"/>
        <v>Friday</v>
      </c>
    </row>
    <row r="353" spans="1:21" x14ac:dyDescent="0.2">
      <c r="A353" t="s">
        <v>391</v>
      </c>
      <c r="B353" t="s">
        <v>22</v>
      </c>
      <c r="C353" t="s">
        <v>23</v>
      </c>
      <c r="D353" t="s">
        <v>31</v>
      </c>
      <c r="E353" t="s">
        <v>181</v>
      </c>
      <c r="F353" t="s">
        <v>32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33</v>
      </c>
      <c r="N353">
        <v>361.83</v>
      </c>
      <c r="O353">
        <v>4.7619047620000003</v>
      </c>
      <c r="P353">
        <v>18.0915</v>
      </c>
      <c r="Q353">
        <v>5.5</v>
      </c>
      <c r="R353" s="3">
        <f t="shared" si="20"/>
        <v>361.83</v>
      </c>
      <c r="S353" t="str">
        <f t="shared" si="21"/>
        <v>January</v>
      </c>
      <c r="T353">
        <f t="shared" si="22"/>
        <v>1</v>
      </c>
      <c r="U353" t="str">
        <f t="shared" si="23"/>
        <v>Saturday</v>
      </c>
    </row>
    <row r="354" spans="1:21" x14ac:dyDescent="0.2">
      <c r="A354" t="s">
        <v>392</v>
      </c>
      <c r="B354" t="s">
        <v>45</v>
      </c>
      <c r="C354" t="s">
        <v>46</v>
      </c>
      <c r="D354" t="s">
        <v>24</v>
      </c>
      <c r="E354" t="s">
        <v>25</v>
      </c>
      <c r="F354" t="s">
        <v>49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  <c r="R354" s="3">
        <f t="shared" si="20"/>
        <v>383.10999999999996</v>
      </c>
      <c r="S354" t="str">
        <f t="shared" si="21"/>
        <v>March</v>
      </c>
      <c r="T354">
        <f t="shared" si="22"/>
        <v>3</v>
      </c>
      <c r="U354" t="str">
        <f t="shared" si="23"/>
        <v>Thursday</v>
      </c>
    </row>
    <row r="355" spans="1:21" x14ac:dyDescent="0.2">
      <c r="A355" t="s">
        <v>393</v>
      </c>
      <c r="B355" t="s">
        <v>45</v>
      </c>
      <c r="C355" t="s">
        <v>46</v>
      </c>
      <c r="D355" t="s">
        <v>24</v>
      </c>
      <c r="E355" t="s">
        <v>181</v>
      </c>
      <c r="F355" t="s">
        <v>35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33</v>
      </c>
      <c r="N355">
        <v>243</v>
      </c>
      <c r="O355">
        <v>4.7619047620000003</v>
      </c>
      <c r="P355">
        <v>12.15</v>
      </c>
      <c r="Q355">
        <v>4.8</v>
      </c>
      <c r="R355" s="3">
        <f t="shared" si="20"/>
        <v>243</v>
      </c>
      <c r="S355" t="str">
        <f t="shared" si="21"/>
        <v>February</v>
      </c>
      <c r="T355">
        <f t="shared" si="22"/>
        <v>2</v>
      </c>
      <c r="U355" t="str">
        <f t="shared" si="23"/>
        <v>Sunday</v>
      </c>
    </row>
    <row r="356" spans="1:21" x14ac:dyDescent="0.2">
      <c r="A356" t="s">
        <v>394</v>
      </c>
      <c r="B356" t="s">
        <v>29</v>
      </c>
      <c r="C356" t="s">
        <v>30</v>
      </c>
      <c r="D356" t="s">
        <v>31</v>
      </c>
      <c r="E356" t="s">
        <v>25</v>
      </c>
      <c r="F356" t="s">
        <v>32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33</v>
      </c>
      <c r="N356">
        <v>30.24</v>
      </c>
      <c r="O356">
        <v>4.7619047620000003</v>
      </c>
      <c r="P356">
        <v>1.512</v>
      </c>
      <c r="Q356">
        <v>8.4</v>
      </c>
      <c r="R356" s="3">
        <f t="shared" si="20"/>
        <v>30.24</v>
      </c>
      <c r="S356" t="str">
        <f t="shared" si="21"/>
        <v>April</v>
      </c>
      <c r="T356">
        <f t="shared" si="22"/>
        <v>4</v>
      </c>
      <c r="U356" t="str">
        <f t="shared" si="23"/>
        <v>Wednesday</v>
      </c>
    </row>
    <row r="357" spans="1:21" x14ac:dyDescent="0.2">
      <c r="A357" t="s">
        <v>395</v>
      </c>
      <c r="B357" t="s">
        <v>45</v>
      </c>
      <c r="C357" t="s">
        <v>46</v>
      </c>
      <c r="D357" t="s">
        <v>24</v>
      </c>
      <c r="E357" t="s">
        <v>25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  <c r="R357" s="3">
        <f t="shared" si="20"/>
        <v>356.56</v>
      </c>
      <c r="S357" t="str">
        <f t="shared" si="21"/>
        <v>July</v>
      </c>
      <c r="T357">
        <f t="shared" si="22"/>
        <v>7</v>
      </c>
      <c r="U357" t="str">
        <f t="shared" si="23"/>
        <v>Monday</v>
      </c>
    </row>
    <row r="358" spans="1:21" x14ac:dyDescent="0.2">
      <c r="A358" t="s">
        <v>396</v>
      </c>
      <c r="B358" t="s">
        <v>29</v>
      </c>
      <c r="C358" t="s">
        <v>30</v>
      </c>
      <c r="D358" t="s">
        <v>31</v>
      </c>
      <c r="E358" t="s">
        <v>25</v>
      </c>
      <c r="F358" t="s">
        <v>49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3">
        <f t="shared" si="20"/>
        <v>375.5</v>
      </c>
      <c r="S358" t="str">
        <f t="shared" si="21"/>
        <v>August</v>
      </c>
      <c r="T358">
        <f t="shared" si="22"/>
        <v>8</v>
      </c>
      <c r="U358" t="str">
        <f t="shared" si="23"/>
        <v>Saturday</v>
      </c>
    </row>
    <row r="359" spans="1:21" x14ac:dyDescent="0.2">
      <c r="A359" t="s">
        <v>397</v>
      </c>
      <c r="B359" t="s">
        <v>29</v>
      </c>
      <c r="C359" t="s">
        <v>30</v>
      </c>
      <c r="D359" t="s">
        <v>31</v>
      </c>
      <c r="E359" t="s">
        <v>25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33</v>
      </c>
      <c r="N359">
        <v>954.4</v>
      </c>
      <c r="O359">
        <v>4.7619047620000003</v>
      </c>
      <c r="P359">
        <v>47.72</v>
      </c>
      <c r="Q359">
        <v>5.2</v>
      </c>
      <c r="R359" s="3">
        <f t="shared" si="20"/>
        <v>954.4</v>
      </c>
      <c r="S359" t="str">
        <f t="shared" si="21"/>
        <v>September</v>
      </c>
      <c r="T359">
        <f t="shared" si="22"/>
        <v>9</v>
      </c>
      <c r="U359" t="str">
        <f t="shared" si="23"/>
        <v>Sunday</v>
      </c>
    </row>
    <row r="360" spans="1:21" x14ac:dyDescent="0.2">
      <c r="A360" t="s">
        <v>398</v>
      </c>
      <c r="B360" t="s">
        <v>45</v>
      </c>
      <c r="C360" t="s">
        <v>46</v>
      </c>
      <c r="D360" t="s">
        <v>31</v>
      </c>
      <c r="E360" t="s">
        <v>181</v>
      </c>
      <c r="F360" t="s">
        <v>32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27</v>
      </c>
      <c r="N360">
        <v>82.5</v>
      </c>
      <c r="O360">
        <v>4.7619047620000003</v>
      </c>
      <c r="P360">
        <v>4.125</v>
      </c>
      <c r="Q360">
        <v>6.5</v>
      </c>
      <c r="R360" s="3">
        <f t="shared" si="20"/>
        <v>82.5</v>
      </c>
      <c r="S360" t="str">
        <f t="shared" si="21"/>
        <v>January</v>
      </c>
      <c r="T360">
        <f t="shared" si="22"/>
        <v>1</v>
      </c>
      <c r="U360" t="str">
        <f t="shared" si="23"/>
        <v>Thursday</v>
      </c>
    </row>
    <row r="361" spans="1:21" x14ac:dyDescent="0.2">
      <c r="A361" t="s">
        <v>399</v>
      </c>
      <c r="B361" t="s">
        <v>45</v>
      </c>
      <c r="C361" t="s">
        <v>46</v>
      </c>
      <c r="D361" t="s">
        <v>31</v>
      </c>
      <c r="E361" t="s">
        <v>181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33</v>
      </c>
      <c r="N361">
        <v>74.97</v>
      </c>
      <c r="O361">
        <v>4.7619047620000003</v>
      </c>
      <c r="P361">
        <v>3.7484999999999999</v>
      </c>
      <c r="Q361">
        <v>5.6</v>
      </c>
      <c r="R361" s="3">
        <f t="shared" si="20"/>
        <v>74.97</v>
      </c>
      <c r="S361" t="str">
        <f t="shared" si="21"/>
        <v>March</v>
      </c>
      <c r="T361">
        <f t="shared" si="22"/>
        <v>3</v>
      </c>
      <c r="U361" t="str">
        <f t="shared" si="23"/>
        <v>Saturday</v>
      </c>
    </row>
    <row r="362" spans="1:21" x14ac:dyDescent="0.2">
      <c r="A362" t="s">
        <v>400</v>
      </c>
      <c r="B362" t="s">
        <v>22</v>
      </c>
      <c r="C362" t="s">
        <v>23</v>
      </c>
      <c r="D362" t="s">
        <v>24</v>
      </c>
      <c r="E362" t="s">
        <v>181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  <c r="R362" s="3">
        <f t="shared" si="20"/>
        <v>647.67999999999995</v>
      </c>
      <c r="S362" t="str">
        <f t="shared" si="21"/>
        <v>February</v>
      </c>
      <c r="T362">
        <f t="shared" si="22"/>
        <v>2</v>
      </c>
      <c r="U362" t="str">
        <f t="shared" si="23"/>
        <v>Sunday</v>
      </c>
    </row>
    <row r="363" spans="1:21" x14ac:dyDescent="0.2">
      <c r="A363" t="s">
        <v>401</v>
      </c>
      <c r="B363" t="s">
        <v>29</v>
      </c>
      <c r="C363" t="s">
        <v>30</v>
      </c>
      <c r="D363" t="s">
        <v>31</v>
      </c>
      <c r="E363" t="s">
        <v>25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33</v>
      </c>
      <c r="N363">
        <v>755.76</v>
      </c>
      <c r="O363">
        <v>4.7619047620000003</v>
      </c>
      <c r="P363">
        <v>37.787999999999997</v>
      </c>
      <c r="Q363">
        <v>9.1</v>
      </c>
      <c r="R363" s="3">
        <f t="shared" si="20"/>
        <v>755.76</v>
      </c>
      <c r="S363" t="str">
        <f t="shared" si="21"/>
        <v>February</v>
      </c>
      <c r="T363">
        <f t="shared" si="22"/>
        <v>2</v>
      </c>
      <c r="U363" t="str">
        <f t="shared" si="23"/>
        <v>Wednesday</v>
      </c>
    </row>
    <row r="364" spans="1:21" x14ac:dyDescent="0.2">
      <c r="A364" t="s">
        <v>402</v>
      </c>
      <c r="B364" t="s">
        <v>29</v>
      </c>
      <c r="C364" t="s">
        <v>30</v>
      </c>
      <c r="D364" t="s">
        <v>31</v>
      </c>
      <c r="E364" t="s">
        <v>181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27</v>
      </c>
      <c r="N364">
        <v>199.58</v>
      </c>
      <c r="O364">
        <v>4.7619047620000003</v>
      </c>
      <c r="P364">
        <v>9.9789999999999992</v>
      </c>
      <c r="Q364">
        <v>8</v>
      </c>
      <c r="R364" s="3">
        <f t="shared" si="20"/>
        <v>199.58</v>
      </c>
      <c r="S364" t="str">
        <f t="shared" si="21"/>
        <v>July</v>
      </c>
      <c r="T364">
        <f t="shared" si="22"/>
        <v>7</v>
      </c>
      <c r="U364" t="str">
        <f t="shared" si="23"/>
        <v>Wednesday</v>
      </c>
    </row>
    <row r="365" spans="1:21" x14ac:dyDescent="0.2">
      <c r="A365" t="s">
        <v>403</v>
      </c>
      <c r="B365" t="s">
        <v>22</v>
      </c>
      <c r="C365" t="s">
        <v>23</v>
      </c>
      <c r="D365" t="s">
        <v>31</v>
      </c>
      <c r="E365" t="s">
        <v>181</v>
      </c>
      <c r="F365" t="s">
        <v>35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33</v>
      </c>
      <c r="N365">
        <v>439.32</v>
      </c>
      <c r="O365">
        <v>4.7619047620000003</v>
      </c>
      <c r="P365">
        <v>21.966000000000001</v>
      </c>
      <c r="Q365">
        <v>7.2</v>
      </c>
      <c r="R365" s="3">
        <f t="shared" si="20"/>
        <v>439.32</v>
      </c>
      <c r="S365" t="str">
        <f t="shared" si="21"/>
        <v>January</v>
      </c>
      <c r="T365">
        <f t="shared" si="22"/>
        <v>1</v>
      </c>
      <c r="U365" t="str">
        <f t="shared" si="23"/>
        <v>Monday</v>
      </c>
    </row>
    <row r="366" spans="1:21" x14ac:dyDescent="0.2">
      <c r="A366" t="s">
        <v>404</v>
      </c>
      <c r="B366" t="s">
        <v>29</v>
      </c>
      <c r="C366" t="s">
        <v>30</v>
      </c>
      <c r="D366" t="s">
        <v>31</v>
      </c>
      <c r="E366" t="s">
        <v>25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33</v>
      </c>
      <c r="N366">
        <v>164.96</v>
      </c>
      <c r="O366">
        <v>4.7619047620000003</v>
      </c>
      <c r="P366">
        <v>8.2479999999999993</v>
      </c>
      <c r="Q366">
        <v>7.1</v>
      </c>
      <c r="R366" s="3">
        <f t="shared" si="20"/>
        <v>164.96</v>
      </c>
      <c r="S366" t="str">
        <f t="shared" si="21"/>
        <v>February</v>
      </c>
      <c r="T366">
        <f t="shared" si="22"/>
        <v>2</v>
      </c>
      <c r="U366" t="str">
        <f t="shared" si="23"/>
        <v>Tuesday</v>
      </c>
    </row>
    <row r="367" spans="1:21" x14ac:dyDescent="0.2">
      <c r="A367" t="s">
        <v>405</v>
      </c>
      <c r="B367" t="s">
        <v>29</v>
      </c>
      <c r="C367" t="s">
        <v>30</v>
      </c>
      <c r="D367" t="s">
        <v>31</v>
      </c>
      <c r="E367" t="s">
        <v>25</v>
      </c>
      <c r="F367" t="s">
        <v>49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33</v>
      </c>
      <c r="N367">
        <v>326.72000000000003</v>
      </c>
      <c r="O367">
        <v>4.7619047620000003</v>
      </c>
      <c r="P367">
        <v>16.335999999999999</v>
      </c>
      <c r="Q367">
        <v>9.1</v>
      </c>
      <c r="R367" s="3">
        <f t="shared" si="20"/>
        <v>326.72000000000003</v>
      </c>
      <c r="S367" t="str">
        <f t="shared" si="21"/>
        <v>June</v>
      </c>
      <c r="T367">
        <f t="shared" si="22"/>
        <v>6</v>
      </c>
      <c r="U367" t="str">
        <f t="shared" si="23"/>
        <v>Saturday</v>
      </c>
    </row>
    <row r="368" spans="1:21" x14ac:dyDescent="0.2">
      <c r="A368" t="s">
        <v>406</v>
      </c>
      <c r="B368" t="s">
        <v>29</v>
      </c>
      <c r="C368" t="s">
        <v>30</v>
      </c>
      <c r="D368" t="s">
        <v>31</v>
      </c>
      <c r="E368" t="s">
        <v>25</v>
      </c>
      <c r="F368" t="s">
        <v>32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33</v>
      </c>
      <c r="N368">
        <v>461.88</v>
      </c>
      <c r="O368">
        <v>4.7619047620000003</v>
      </c>
      <c r="P368">
        <v>23.094000000000001</v>
      </c>
      <c r="Q368">
        <v>5.6</v>
      </c>
      <c r="R368" s="3">
        <f t="shared" si="20"/>
        <v>461.88</v>
      </c>
      <c r="S368" t="str">
        <f t="shared" si="21"/>
        <v>March</v>
      </c>
      <c r="T368">
        <f t="shared" si="22"/>
        <v>3</v>
      </c>
      <c r="U368" t="str">
        <f t="shared" si="23"/>
        <v>Thursday</v>
      </c>
    </row>
    <row r="369" spans="1:21" x14ac:dyDescent="0.2">
      <c r="A369" t="s">
        <v>407</v>
      </c>
      <c r="B369" t="s">
        <v>22</v>
      </c>
      <c r="C369" t="s">
        <v>23</v>
      </c>
      <c r="D369" t="s">
        <v>24</v>
      </c>
      <c r="E369" t="s">
        <v>181</v>
      </c>
      <c r="F369" t="s">
        <v>35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33</v>
      </c>
      <c r="N369">
        <v>263.76</v>
      </c>
      <c r="O369">
        <v>4.7619047620000003</v>
      </c>
      <c r="P369">
        <v>13.188000000000001</v>
      </c>
      <c r="Q369">
        <v>6</v>
      </c>
      <c r="R369" s="3">
        <f t="shared" si="20"/>
        <v>263.76</v>
      </c>
      <c r="S369" t="str">
        <f t="shared" si="21"/>
        <v>March</v>
      </c>
      <c r="T369">
        <f t="shared" si="22"/>
        <v>3</v>
      </c>
      <c r="U369" t="str">
        <f t="shared" si="23"/>
        <v>Sunday</v>
      </c>
    </row>
    <row r="370" spans="1:21" x14ac:dyDescent="0.2">
      <c r="A370" t="s">
        <v>408</v>
      </c>
      <c r="B370" t="s">
        <v>29</v>
      </c>
      <c r="C370" t="s">
        <v>30</v>
      </c>
      <c r="D370" t="s">
        <v>31</v>
      </c>
      <c r="E370" t="s">
        <v>25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33</v>
      </c>
      <c r="N370">
        <v>143.6</v>
      </c>
      <c r="O370">
        <v>4.7619047620000003</v>
      </c>
      <c r="P370">
        <v>7.18</v>
      </c>
      <c r="Q370">
        <v>5.4</v>
      </c>
      <c r="R370" s="3">
        <f t="shared" si="20"/>
        <v>143.6</v>
      </c>
      <c r="S370" t="str">
        <f t="shared" si="21"/>
        <v>January</v>
      </c>
      <c r="T370">
        <f t="shared" si="22"/>
        <v>1</v>
      </c>
      <c r="U370" t="str">
        <f t="shared" si="23"/>
        <v>Sunday</v>
      </c>
    </row>
    <row r="371" spans="1:21" x14ac:dyDescent="0.2">
      <c r="A371" t="s">
        <v>409</v>
      </c>
      <c r="B371" t="s">
        <v>22</v>
      </c>
      <c r="C371" t="s">
        <v>23</v>
      </c>
      <c r="D371" t="s">
        <v>24</v>
      </c>
      <c r="E371" t="s">
        <v>181</v>
      </c>
      <c r="F371" t="s">
        <v>32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  <c r="R371" s="3">
        <f t="shared" si="20"/>
        <v>193.5</v>
      </c>
      <c r="S371" t="str">
        <f t="shared" si="21"/>
        <v>June</v>
      </c>
      <c r="T371">
        <f t="shared" si="22"/>
        <v>6</v>
      </c>
      <c r="U371" t="str">
        <f t="shared" si="23"/>
        <v>Monday</v>
      </c>
    </row>
    <row r="372" spans="1:21" x14ac:dyDescent="0.2">
      <c r="A372" t="s">
        <v>410</v>
      </c>
      <c r="B372" t="s">
        <v>45</v>
      </c>
      <c r="C372" t="s">
        <v>46</v>
      </c>
      <c r="D372" t="s">
        <v>24</v>
      </c>
      <c r="E372" t="s">
        <v>25</v>
      </c>
      <c r="F372" t="s">
        <v>32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33</v>
      </c>
      <c r="N372">
        <v>183.82</v>
      </c>
      <c r="O372">
        <v>4.7619047620000003</v>
      </c>
      <c r="P372">
        <v>9.1910000000000007</v>
      </c>
      <c r="Q372">
        <v>9.9</v>
      </c>
      <c r="R372" s="3">
        <f t="shared" si="20"/>
        <v>183.82000000000002</v>
      </c>
      <c r="S372" t="str">
        <f t="shared" si="21"/>
        <v>February</v>
      </c>
      <c r="T372">
        <f t="shared" si="22"/>
        <v>2</v>
      </c>
      <c r="U372" t="str">
        <f t="shared" si="23"/>
        <v>Saturday</v>
      </c>
    </row>
    <row r="373" spans="1:21" x14ac:dyDescent="0.2">
      <c r="A373" t="s">
        <v>411</v>
      </c>
      <c r="B373" t="s">
        <v>45</v>
      </c>
      <c r="C373" t="s">
        <v>46</v>
      </c>
      <c r="D373" t="s">
        <v>31</v>
      </c>
      <c r="E373" t="s">
        <v>25</v>
      </c>
      <c r="F373" t="s">
        <v>49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3">
        <f t="shared" si="20"/>
        <v>121.92</v>
      </c>
      <c r="S373" t="str">
        <f t="shared" si="21"/>
        <v>January</v>
      </c>
      <c r="T373">
        <f t="shared" si="22"/>
        <v>1</v>
      </c>
      <c r="U373" t="str">
        <f t="shared" si="23"/>
        <v>Friday</v>
      </c>
    </row>
    <row r="374" spans="1:21" x14ac:dyDescent="0.2">
      <c r="A374" t="s">
        <v>412</v>
      </c>
      <c r="B374" t="s">
        <v>29</v>
      </c>
      <c r="C374" t="s">
        <v>30</v>
      </c>
      <c r="D374" t="s">
        <v>31</v>
      </c>
      <c r="E374" t="s">
        <v>25</v>
      </c>
      <c r="F374" t="s">
        <v>35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27</v>
      </c>
      <c r="N374">
        <v>420.66</v>
      </c>
      <c r="O374">
        <v>4.7619047620000003</v>
      </c>
      <c r="P374">
        <v>21.033000000000001</v>
      </c>
      <c r="Q374">
        <v>5.2</v>
      </c>
      <c r="R374" s="3">
        <f t="shared" si="20"/>
        <v>420.65999999999997</v>
      </c>
      <c r="S374" t="str">
        <f t="shared" si="21"/>
        <v>March</v>
      </c>
      <c r="T374">
        <f t="shared" si="22"/>
        <v>3</v>
      </c>
      <c r="U374" t="str">
        <f t="shared" si="23"/>
        <v>Thursday</v>
      </c>
    </row>
    <row r="375" spans="1:21" x14ac:dyDescent="0.2">
      <c r="A375" t="s">
        <v>413</v>
      </c>
      <c r="B375" t="s">
        <v>29</v>
      </c>
      <c r="C375" t="s">
        <v>30</v>
      </c>
      <c r="D375" t="s">
        <v>31</v>
      </c>
      <c r="E375" t="s">
        <v>181</v>
      </c>
      <c r="F375" t="s">
        <v>49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33</v>
      </c>
      <c r="N375">
        <v>252.48</v>
      </c>
      <c r="O375">
        <v>4.7619047620000003</v>
      </c>
      <c r="P375">
        <v>12.624000000000001</v>
      </c>
      <c r="Q375">
        <v>8.9</v>
      </c>
      <c r="R375" s="3">
        <f t="shared" si="20"/>
        <v>252.48</v>
      </c>
      <c r="S375" t="str">
        <f t="shared" si="21"/>
        <v>January</v>
      </c>
      <c r="T375">
        <f t="shared" si="22"/>
        <v>1</v>
      </c>
      <c r="U375" t="str">
        <f t="shared" si="23"/>
        <v>Tuesday</v>
      </c>
    </row>
    <row r="376" spans="1:21" x14ac:dyDescent="0.2">
      <c r="A376" t="s">
        <v>414</v>
      </c>
      <c r="B376" t="s">
        <v>22</v>
      </c>
      <c r="C376" t="s">
        <v>23</v>
      </c>
      <c r="D376" t="s">
        <v>31</v>
      </c>
      <c r="E376" t="s">
        <v>25</v>
      </c>
      <c r="F376" t="s">
        <v>35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  <c r="R376" s="3">
        <f t="shared" si="20"/>
        <v>335.45000000000005</v>
      </c>
      <c r="S376" t="str">
        <f t="shared" si="21"/>
        <v>March</v>
      </c>
      <c r="T376">
        <f t="shared" si="22"/>
        <v>3</v>
      </c>
      <c r="U376" t="str">
        <f t="shared" si="23"/>
        <v>Friday</v>
      </c>
    </row>
    <row r="377" spans="1:21" x14ac:dyDescent="0.2">
      <c r="A377" t="s">
        <v>415</v>
      </c>
      <c r="B377" t="s">
        <v>22</v>
      </c>
      <c r="C377" t="s">
        <v>23</v>
      </c>
      <c r="D377" t="s">
        <v>24</v>
      </c>
      <c r="E377" t="s">
        <v>25</v>
      </c>
      <c r="F377" t="s">
        <v>49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27</v>
      </c>
      <c r="N377">
        <v>483.5</v>
      </c>
      <c r="O377">
        <v>4.7619047620000003</v>
      </c>
      <c r="P377">
        <v>24.175000000000001</v>
      </c>
      <c r="Q377">
        <v>7</v>
      </c>
      <c r="R377" s="3">
        <f t="shared" si="20"/>
        <v>483.5</v>
      </c>
      <c r="S377" t="str">
        <f t="shared" si="21"/>
        <v>January</v>
      </c>
      <c r="T377">
        <f t="shared" si="22"/>
        <v>1</v>
      </c>
      <c r="U377" t="str">
        <f t="shared" si="23"/>
        <v>Monday</v>
      </c>
    </row>
    <row r="378" spans="1:21" x14ac:dyDescent="0.2">
      <c r="A378" t="s">
        <v>416</v>
      </c>
      <c r="B378" t="s">
        <v>45</v>
      </c>
      <c r="C378" t="s">
        <v>46</v>
      </c>
      <c r="D378" t="s">
        <v>24</v>
      </c>
      <c r="E378" t="s">
        <v>25</v>
      </c>
      <c r="F378" t="s">
        <v>35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  <c r="R378" s="3">
        <f t="shared" si="20"/>
        <v>318.42</v>
      </c>
      <c r="S378" t="str">
        <f t="shared" si="21"/>
        <v>May</v>
      </c>
      <c r="T378">
        <f t="shared" si="22"/>
        <v>5</v>
      </c>
      <c r="U378" t="str">
        <f t="shared" si="23"/>
        <v>Wednesday</v>
      </c>
    </row>
    <row r="379" spans="1:21" x14ac:dyDescent="0.2">
      <c r="A379" t="s">
        <v>417</v>
      </c>
      <c r="B379" t="s">
        <v>29</v>
      </c>
      <c r="C379" t="s">
        <v>30</v>
      </c>
      <c r="D379" t="s">
        <v>31</v>
      </c>
      <c r="E379" t="s">
        <v>181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27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3">
        <f t="shared" si="20"/>
        <v>668.43</v>
      </c>
      <c r="S379" t="str">
        <f t="shared" si="21"/>
        <v>February</v>
      </c>
      <c r="T379">
        <f t="shared" si="22"/>
        <v>2</v>
      </c>
      <c r="U379" t="str">
        <f t="shared" si="23"/>
        <v>Friday</v>
      </c>
    </row>
    <row r="380" spans="1:21" x14ac:dyDescent="0.2">
      <c r="A380" t="s">
        <v>418</v>
      </c>
      <c r="B380" t="s">
        <v>29</v>
      </c>
      <c r="C380" t="s">
        <v>30</v>
      </c>
      <c r="D380" t="s">
        <v>24</v>
      </c>
      <c r="E380" t="s">
        <v>181</v>
      </c>
      <c r="F380" t="s">
        <v>49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27</v>
      </c>
      <c r="N380">
        <v>387.92</v>
      </c>
      <c r="O380">
        <v>4.7619047620000003</v>
      </c>
      <c r="P380">
        <v>19.396000000000001</v>
      </c>
      <c r="Q380">
        <v>9.4</v>
      </c>
      <c r="R380" s="3">
        <f t="shared" si="20"/>
        <v>387.92</v>
      </c>
      <c r="S380" t="str">
        <f t="shared" si="21"/>
        <v>June</v>
      </c>
      <c r="T380">
        <f t="shared" si="22"/>
        <v>6</v>
      </c>
      <c r="U380" t="str">
        <f t="shared" si="23"/>
        <v>Sunday</v>
      </c>
    </row>
    <row r="381" spans="1:21" x14ac:dyDescent="0.2">
      <c r="A381" t="s">
        <v>419</v>
      </c>
      <c r="B381" t="s">
        <v>45</v>
      </c>
      <c r="C381" t="s">
        <v>46</v>
      </c>
      <c r="D381" t="s">
        <v>31</v>
      </c>
      <c r="E381" t="s">
        <v>25</v>
      </c>
      <c r="F381" t="s">
        <v>32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  <c r="R381" s="3">
        <f t="shared" si="20"/>
        <v>94.6</v>
      </c>
      <c r="S381" t="str">
        <f t="shared" si="21"/>
        <v>January</v>
      </c>
      <c r="T381">
        <f t="shared" si="22"/>
        <v>1</v>
      </c>
      <c r="U381" t="str">
        <f t="shared" si="23"/>
        <v>Wednesday</v>
      </c>
    </row>
    <row r="382" spans="1:21" x14ac:dyDescent="0.2">
      <c r="A382" t="s">
        <v>420</v>
      </c>
      <c r="B382" t="s">
        <v>22</v>
      </c>
      <c r="C382" t="s">
        <v>23</v>
      </c>
      <c r="D382" t="s">
        <v>24</v>
      </c>
      <c r="E382" t="s">
        <v>181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  <c r="R382" s="3">
        <f t="shared" si="20"/>
        <v>329.32</v>
      </c>
      <c r="S382" t="str">
        <f t="shared" si="21"/>
        <v>November</v>
      </c>
      <c r="T382">
        <f t="shared" si="22"/>
        <v>11</v>
      </c>
      <c r="U382" t="str">
        <f t="shared" si="23"/>
        <v>Friday</v>
      </c>
    </row>
    <row r="383" spans="1:21" x14ac:dyDescent="0.2">
      <c r="A383" t="s">
        <v>421</v>
      </c>
      <c r="B383" t="s">
        <v>29</v>
      </c>
      <c r="C383" t="s">
        <v>30</v>
      </c>
      <c r="D383" t="s">
        <v>31</v>
      </c>
      <c r="E383" t="s">
        <v>25</v>
      </c>
      <c r="F383" t="s">
        <v>32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33</v>
      </c>
      <c r="N383">
        <v>53.22</v>
      </c>
      <c r="O383">
        <v>4.7619047620000003</v>
      </c>
      <c r="P383">
        <v>2.661</v>
      </c>
      <c r="Q383">
        <v>4.2</v>
      </c>
      <c r="R383" s="3">
        <f t="shared" si="20"/>
        <v>53.22</v>
      </c>
      <c r="S383" t="str">
        <f t="shared" si="21"/>
        <v>March</v>
      </c>
      <c r="T383">
        <f t="shared" si="22"/>
        <v>3</v>
      </c>
      <c r="U383" t="str">
        <f t="shared" si="23"/>
        <v>Tuesday</v>
      </c>
    </row>
    <row r="384" spans="1:21" x14ac:dyDescent="0.2">
      <c r="A384" t="s">
        <v>422</v>
      </c>
      <c r="B384" t="s">
        <v>45</v>
      </c>
      <c r="C384" t="s">
        <v>46</v>
      </c>
      <c r="D384" t="s">
        <v>31</v>
      </c>
      <c r="E384" t="s">
        <v>25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33</v>
      </c>
      <c r="N384">
        <v>498.45</v>
      </c>
      <c r="O384">
        <v>4.7619047620000003</v>
      </c>
      <c r="P384">
        <v>24.922499999999999</v>
      </c>
      <c r="Q384">
        <v>9.9</v>
      </c>
      <c r="R384" s="3">
        <f t="shared" si="20"/>
        <v>498.45</v>
      </c>
      <c r="S384" t="str">
        <f t="shared" si="21"/>
        <v>January</v>
      </c>
      <c r="T384">
        <f t="shared" si="22"/>
        <v>1</v>
      </c>
      <c r="U384" t="str">
        <f t="shared" si="23"/>
        <v>Monday</v>
      </c>
    </row>
    <row r="385" spans="1:21" x14ac:dyDescent="0.2">
      <c r="A385" t="s">
        <v>423</v>
      </c>
      <c r="B385" t="s">
        <v>29</v>
      </c>
      <c r="C385" t="s">
        <v>30</v>
      </c>
      <c r="D385" t="s">
        <v>24</v>
      </c>
      <c r="E385" t="s">
        <v>25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27</v>
      </c>
      <c r="N385">
        <v>299.56</v>
      </c>
      <c r="O385">
        <v>4.7619047620000003</v>
      </c>
      <c r="P385">
        <v>14.978</v>
      </c>
      <c r="Q385">
        <v>4.2</v>
      </c>
      <c r="R385" s="3">
        <f t="shared" si="20"/>
        <v>299.56</v>
      </c>
      <c r="S385" t="str">
        <f t="shared" si="21"/>
        <v>January</v>
      </c>
      <c r="T385">
        <f t="shared" si="22"/>
        <v>1</v>
      </c>
      <c r="U385" t="str">
        <f t="shared" si="23"/>
        <v>Thursday</v>
      </c>
    </row>
    <row r="386" spans="1:21" x14ac:dyDescent="0.2">
      <c r="A386" t="s">
        <v>424</v>
      </c>
      <c r="B386" t="s">
        <v>22</v>
      </c>
      <c r="C386" t="s">
        <v>23</v>
      </c>
      <c r="D386" t="s">
        <v>31</v>
      </c>
      <c r="E386" t="s">
        <v>25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27</v>
      </c>
      <c r="N386">
        <v>204.7</v>
      </c>
      <c r="O386">
        <v>4.7619047620000003</v>
      </c>
      <c r="P386">
        <v>10.234999999999999</v>
      </c>
      <c r="Q386">
        <v>9.9</v>
      </c>
      <c r="R386" s="3">
        <f t="shared" si="20"/>
        <v>204.7</v>
      </c>
      <c r="S386" t="str">
        <f t="shared" si="21"/>
        <v>June</v>
      </c>
      <c r="T386">
        <f t="shared" si="22"/>
        <v>6</v>
      </c>
      <c r="U386" t="str">
        <f t="shared" si="23"/>
        <v>Saturday</v>
      </c>
    </row>
    <row r="387" spans="1:21" x14ac:dyDescent="0.2">
      <c r="A387" t="s">
        <v>425</v>
      </c>
      <c r="B387" t="s">
        <v>45</v>
      </c>
      <c r="C387" t="s">
        <v>46</v>
      </c>
      <c r="D387" t="s">
        <v>24</v>
      </c>
      <c r="E387" t="s">
        <v>181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33</v>
      </c>
      <c r="N387">
        <v>75.819999999999993</v>
      </c>
      <c r="O387">
        <v>4.7619047620000003</v>
      </c>
      <c r="P387">
        <v>3.7909999999999999</v>
      </c>
      <c r="Q387">
        <v>5.8</v>
      </c>
      <c r="R387" s="3">
        <f t="shared" ref="R387:R450" si="24">H387*G387</f>
        <v>75.819999999999993</v>
      </c>
      <c r="S387" t="str">
        <f t="shared" ref="S387:S450" si="25">TEXT(K387,"mmmm")</f>
        <v>January</v>
      </c>
      <c r="T387">
        <f t="shared" ref="T387:T450" si="26">MONTH(K387)</f>
        <v>1</v>
      </c>
      <c r="U387" t="str">
        <f t="shared" ref="U387:U450" si="27">TEXT(K387,"dddd")</f>
        <v>Thursday</v>
      </c>
    </row>
    <row r="388" spans="1:21" x14ac:dyDescent="0.2">
      <c r="A388" t="s">
        <v>426</v>
      </c>
      <c r="B388" t="s">
        <v>29</v>
      </c>
      <c r="C388" t="s">
        <v>30</v>
      </c>
      <c r="D388" t="s">
        <v>31</v>
      </c>
      <c r="E388" t="s">
        <v>181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33</v>
      </c>
      <c r="N388">
        <v>280.62</v>
      </c>
      <c r="O388">
        <v>4.7619047620000003</v>
      </c>
      <c r="P388">
        <v>14.031000000000001</v>
      </c>
      <c r="Q388">
        <v>6</v>
      </c>
      <c r="R388" s="3">
        <f t="shared" si="24"/>
        <v>280.62</v>
      </c>
      <c r="S388" t="str">
        <f t="shared" si="25"/>
        <v>November</v>
      </c>
      <c r="T388">
        <f t="shared" si="26"/>
        <v>11</v>
      </c>
      <c r="U388" t="str">
        <f t="shared" si="27"/>
        <v>Sunday</v>
      </c>
    </row>
    <row r="389" spans="1:21" x14ac:dyDescent="0.2">
      <c r="A389" t="s">
        <v>427</v>
      </c>
      <c r="B389" t="s">
        <v>22</v>
      </c>
      <c r="C389" t="s">
        <v>23</v>
      </c>
      <c r="D389" t="s">
        <v>31</v>
      </c>
      <c r="E389" t="s">
        <v>25</v>
      </c>
      <c r="F389" t="s">
        <v>26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  <c r="R389" s="3">
        <f t="shared" si="24"/>
        <v>323.2</v>
      </c>
      <c r="S389" t="str">
        <f t="shared" si="25"/>
        <v>February</v>
      </c>
      <c r="T389">
        <f t="shared" si="26"/>
        <v>2</v>
      </c>
      <c r="U389" t="str">
        <f t="shared" si="27"/>
        <v>Wednesday</v>
      </c>
    </row>
    <row r="390" spans="1:21" x14ac:dyDescent="0.2">
      <c r="A390" t="s">
        <v>428</v>
      </c>
      <c r="B390" t="s">
        <v>29</v>
      </c>
      <c r="C390" t="s">
        <v>30</v>
      </c>
      <c r="D390" t="s">
        <v>24</v>
      </c>
      <c r="E390" t="s">
        <v>25</v>
      </c>
      <c r="F390" t="s">
        <v>49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27</v>
      </c>
      <c r="N390">
        <v>486.63</v>
      </c>
      <c r="O390">
        <v>4.7619047620000003</v>
      </c>
      <c r="P390">
        <v>24.331499999999998</v>
      </c>
      <c r="Q390">
        <v>9.5</v>
      </c>
      <c r="R390" s="3">
        <f t="shared" si="24"/>
        <v>486.63</v>
      </c>
      <c r="S390" t="str">
        <f t="shared" si="25"/>
        <v>January</v>
      </c>
      <c r="T390">
        <f t="shared" si="26"/>
        <v>1</v>
      </c>
      <c r="U390" t="str">
        <f t="shared" si="27"/>
        <v>Sunday</v>
      </c>
    </row>
    <row r="391" spans="1:21" x14ac:dyDescent="0.2">
      <c r="A391" t="s">
        <v>429</v>
      </c>
      <c r="B391" t="s">
        <v>45</v>
      </c>
      <c r="C391" t="s">
        <v>46</v>
      </c>
      <c r="D391" t="s">
        <v>31</v>
      </c>
      <c r="E391" t="s">
        <v>181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  <c r="R391" s="3">
        <f t="shared" si="24"/>
        <v>127.53999999999999</v>
      </c>
      <c r="S391" t="str">
        <f t="shared" si="25"/>
        <v>October</v>
      </c>
      <c r="T391">
        <f t="shared" si="26"/>
        <v>10</v>
      </c>
      <c r="U391" t="str">
        <f t="shared" si="27"/>
        <v>Thursday</v>
      </c>
    </row>
    <row r="392" spans="1:21" x14ac:dyDescent="0.2">
      <c r="A392" t="s">
        <v>430</v>
      </c>
      <c r="B392" t="s">
        <v>29</v>
      </c>
      <c r="C392" t="s">
        <v>30</v>
      </c>
      <c r="D392" t="s">
        <v>24</v>
      </c>
      <c r="E392" t="s">
        <v>25</v>
      </c>
      <c r="F392" t="s">
        <v>49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33</v>
      </c>
      <c r="N392">
        <v>241.44</v>
      </c>
      <c r="O392">
        <v>4.7619047620000003</v>
      </c>
      <c r="P392">
        <v>12.071999999999999</v>
      </c>
      <c r="Q392">
        <v>8.1</v>
      </c>
      <c r="R392" s="3">
        <f t="shared" si="24"/>
        <v>241.44</v>
      </c>
      <c r="S392" t="str">
        <f t="shared" si="25"/>
        <v>February</v>
      </c>
      <c r="T392">
        <f t="shared" si="26"/>
        <v>2</v>
      </c>
      <c r="U392" t="str">
        <f t="shared" si="27"/>
        <v>Friday</v>
      </c>
    </row>
    <row r="393" spans="1:21" x14ac:dyDescent="0.2">
      <c r="A393" t="s">
        <v>431</v>
      </c>
      <c r="B393" t="s">
        <v>45</v>
      </c>
      <c r="C393" t="s">
        <v>46</v>
      </c>
      <c r="D393" t="s">
        <v>31</v>
      </c>
      <c r="E393" t="s">
        <v>25</v>
      </c>
      <c r="F393" t="s">
        <v>49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33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3">
        <f t="shared" si="24"/>
        <v>379.5</v>
      </c>
      <c r="S393" t="str">
        <f t="shared" si="25"/>
        <v>January</v>
      </c>
      <c r="T393">
        <f t="shared" si="26"/>
        <v>1</v>
      </c>
      <c r="U393" t="str">
        <f t="shared" si="27"/>
        <v>Saturday</v>
      </c>
    </row>
    <row r="394" spans="1:21" x14ac:dyDescent="0.2">
      <c r="A394" t="s">
        <v>432</v>
      </c>
      <c r="B394" t="s">
        <v>22</v>
      </c>
      <c r="C394" t="s">
        <v>23</v>
      </c>
      <c r="D394" t="s">
        <v>24</v>
      </c>
      <c r="E394" t="s">
        <v>181</v>
      </c>
      <c r="F394" t="s">
        <v>32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27</v>
      </c>
      <c r="N394">
        <v>76.819999999999993</v>
      </c>
      <c r="O394">
        <v>4.7619047620000003</v>
      </c>
      <c r="P394">
        <v>3.8410000000000002</v>
      </c>
      <c r="Q394">
        <v>7.2</v>
      </c>
      <c r="R394" s="3">
        <f t="shared" si="24"/>
        <v>76.819999999999993</v>
      </c>
      <c r="S394" t="str">
        <f t="shared" si="25"/>
        <v>February</v>
      </c>
      <c r="T394">
        <f t="shared" si="26"/>
        <v>2</v>
      </c>
      <c r="U394" t="str">
        <f t="shared" si="27"/>
        <v>Wednesday</v>
      </c>
    </row>
    <row r="395" spans="1:21" x14ac:dyDescent="0.2">
      <c r="A395" t="s">
        <v>433</v>
      </c>
      <c r="B395" t="s">
        <v>22</v>
      </c>
      <c r="C395" t="s">
        <v>23</v>
      </c>
      <c r="D395" t="s">
        <v>24</v>
      </c>
      <c r="E395" t="s">
        <v>25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  <c r="R395" s="3">
        <f t="shared" si="24"/>
        <v>522.6</v>
      </c>
      <c r="S395" t="str">
        <f t="shared" si="25"/>
        <v>September</v>
      </c>
      <c r="T395">
        <f t="shared" si="26"/>
        <v>9</v>
      </c>
      <c r="U395" t="str">
        <f t="shared" si="27"/>
        <v>Tuesday</v>
      </c>
    </row>
    <row r="396" spans="1:21" x14ac:dyDescent="0.2">
      <c r="A396" t="s">
        <v>434</v>
      </c>
      <c r="B396" t="s">
        <v>22</v>
      </c>
      <c r="C396" t="s">
        <v>23</v>
      </c>
      <c r="D396" t="s">
        <v>31</v>
      </c>
      <c r="E396" t="s">
        <v>25</v>
      </c>
      <c r="F396" t="s">
        <v>26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27</v>
      </c>
      <c r="N396">
        <v>79.739999999999995</v>
      </c>
      <c r="O396">
        <v>4.7619047620000003</v>
      </c>
      <c r="P396">
        <v>3.9870000000000001</v>
      </c>
      <c r="Q396">
        <v>7.3</v>
      </c>
      <c r="R396" s="3">
        <f t="shared" si="24"/>
        <v>79.739999999999995</v>
      </c>
      <c r="S396" t="str">
        <f t="shared" si="25"/>
        <v>June</v>
      </c>
      <c r="T396">
        <f t="shared" si="26"/>
        <v>6</v>
      </c>
      <c r="U396" t="str">
        <f t="shared" si="27"/>
        <v>Monday</v>
      </c>
    </row>
    <row r="397" spans="1:21" x14ac:dyDescent="0.2">
      <c r="A397" t="s">
        <v>435</v>
      </c>
      <c r="B397" t="s">
        <v>22</v>
      </c>
      <c r="C397" t="s">
        <v>23</v>
      </c>
      <c r="D397" t="s">
        <v>31</v>
      </c>
      <c r="E397" t="s">
        <v>25</v>
      </c>
      <c r="F397" t="s">
        <v>26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27</v>
      </c>
      <c r="N397">
        <v>387.5</v>
      </c>
      <c r="O397">
        <v>4.7619047620000003</v>
      </c>
      <c r="P397">
        <v>19.375</v>
      </c>
      <c r="Q397">
        <v>4.3</v>
      </c>
      <c r="R397" s="3">
        <f t="shared" si="24"/>
        <v>387.5</v>
      </c>
      <c r="S397" t="str">
        <f t="shared" si="25"/>
        <v>January</v>
      </c>
      <c r="T397">
        <f t="shared" si="26"/>
        <v>1</v>
      </c>
      <c r="U397" t="str">
        <f t="shared" si="27"/>
        <v>Thursday</v>
      </c>
    </row>
    <row r="398" spans="1:21" x14ac:dyDescent="0.2">
      <c r="A398" t="s">
        <v>436</v>
      </c>
      <c r="B398" t="s">
        <v>22</v>
      </c>
      <c r="C398" t="s">
        <v>23</v>
      </c>
      <c r="D398" t="s">
        <v>31</v>
      </c>
      <c r="E398" t="s">
        <v>25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27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3">
        <f t="shared" si="24"/>
        <v>271.35000000000002</v>
      </c>
      <c r="S398" t="str">
        <f t="shared" si="25"/>
        <v>March</v>
      </c>
      <c r="T398">
        <f t="shared" si="26"/>
        <v>3</v>
      </c>
      <c r="U398" t="str">
        <f t="shared" si="27"/>
        <v>Wednesday</v>
      </c>
    </row>
    <row r="399" spans="1:21" x14ac:dyDescent="0.2">
      <c r="A399" t="s">
        <v>437</v>
      </c>
      <c r="B399" t="s">
        <v>45</v>
      </c>
      <c r="C399" t="s">
        <v>46</v>
      </c>
      <c r="D399" t="s">
        <v>31</v>
      </c>
      <c r="E399" t="s">
        <v>181</v>
      </c>
      <c r="F399" t="s">
        <v>35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33</v>
      </c>
      <c r="N399">
        <v>122.31</v>
      </c>
      <c r="O399">
        <v>4.7619047620000003</v>
      </c>
      <c r="P399">
        <v>6.1154999999999999</v>
      </c>
      <c r="Q399">
        <v>5.8</v>
      </c>
      <c r="R399" s="3">
        <f t="shared" si="24"/>
        <v>122.31</v>
      </c>
      <c r="S399" t="str">
        <f t="shared" si="25"/>
        <v>March</v>
      </c>
      <c r="T399">
        <f t="shared" si="26"/>
        <v>3</v>
      </c>
      <c r="U399" t="str">
        <f t="shared" si="27"/>
        <v>Friday</v>
      </c>
    </row>
    <row r="400" spans="1:21" x14ac:dyDescent="0.2">
      <c r="A400" t="s">
        <v>438</v>
      </c>
      <c r="B400" t="s">
        <v>45</v>
      </c>
      <c r="C400" t="s">
        <v>46</v>
      </c>
      <c r="D400" t="s">
        <v>24</v>
      </c>
      <c r="E400" t="s">
        <v>25</v>
      </c>
      <c r="F400" t="s">
        <v>26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  <c r="R400" s="3">
        <f t="shared" si="24"/>
        <v>246.36</v>
      </c>
      <c r="S400" t="str">
        <f t="shared" si="25"/>
        <v>May</v>
      </c>
      <c r="T400">
        <f t="shared" si="26"/>
        <v>5</v>
      </c>
      <c r="U400" t="str">
        <f t="shared" si="27"/>
        <v>Friday</v>
      </c>
    </row>
    <row r="401" spans="1:21" x14ac:dyDescent="0.2">
      <c r="A401" t="s">
        <v>439</v>
      </c>
      <c r="B401" t="s">
        <v>45</v>
      </c>
      <c r="C401" t="s">
        <v>46</v>
      </c>
      <c r="D401" t="s">
        <v>24</v>
      </c>
      <c r="E401" t="s">
        <v>181</v>
      </c>
      <c r="F401" t="s">
        <v>32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33</v>
      </c>
      <c r="N401">
        <v>173.16</v>
      </c>
      <c r="O401">
        <v>4.7619047620000003</v>
      </c>
      <c r="P401">
        <v>8.6579999999999995</v>
      </c>
      <c r="Q401">
        <v>8</v>
      </c>
      <c r="R401" s="3">
        <f t="shared" si="24"/>
        <v>173.16</v>
      </c>
      <c r="S401" t="str">
        <f t="shared" si="25"/>
        <v>April</v>
      </c>
      <c r="T401">
        <f t="shared" si="26"/>
        <v>4</v>
      </c>
      <c r="U401" t="str">
        <f t="shared" si="27"/>
        <v>Wednesday</v>
      </c>
    </row>
    <row r="402" spans="1:21" x14ac:dyDescent="0.2">
      <c r="A402" t="s">
        <v>440</v>
      </c>
      <c r="B402" t="s">
        <v>29</v>
      </c>
      <c r="C402" t="s">
        <v>30</v>
      </c>
      <c r="D402" t="s">
        <v>31</v>
      </c>
      <c r="E402" t="s">
        <v>25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  <c r="R402" s="3">
        <f t="shared" si="24"/>
        <v>236.57999999999998</v>
      </c>
      <c r="S402" t="str">
        <f t="shared" si="25"/>
        <v>March</v>
      </c>
      <c r="T402">
        <f t="shared" si="26"/>
        <v>3</v>
      </c>
      <c r="U402" t="str">
        <f t="shared" si="27"/>
        <v>Monday</v>
      </c>
    </row>
    <row r="403" spans="1:21" x14ac:dyDescent="0.2">
      <c r="A403" t="s">
        <v>441</v>
      </c>
      <c r="B403" t="s">
        <v>29</v>
      </c>
      <c r="C403" t="s">
        <v>30</v>
      </c>
      <c r="D403" t="s">
        <v>31</v>
      </c>
      <c r="E403" t="s">
        <v>181</v>
      </c>
      <c r="F403" t="s">
        <v>35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  <c r="R403" s="3">
        <f t="shared" si="24"/>
        <v>184.88</v>
      </c>
      <c r="S403" t="str">
        <f t="shared" si="25"/>
        <v>December</v>
      </c>
      <c r="T403">
        <f t="shared" si="26"/>
        <v>12</v>
      </c>
      <c r="U403" t="str">
        <f t="shared" si="27"/>
        <v>Tuesday</v>
      </c>
    </row>
    <row r="404" spans="1:21" x14ac:dyDescent="0.2">
      <c r="A404" t="s">
        <v>442</v>
      </c>
      <c r="B404" t="s">
        <v>29</v>
      </c>
      <c r="C404" t="s">
        <v>30</v>
      </c>
      <c r="D404" t="s">
        <v>24</v>
      </c>
      <c r="E404" t="s">
        <v>181</v>
      </c>
      <c r="F404" t="s">
        <v>35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27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3">
        <f t="shared" si="24"/>
        <v>13.98</v>
      </c>
      <c r="S404" t="str">
        <f t="shared" si="25"/>
        <v>April</v>
      </c>
      <c r="T404">
        <f t="shared" si="26"/>
        <v>4</v>
      </c>
      <c r="U404" t="str">
        <f t="shared" si="27"/>
        <v>Tuesday</v>
      </c>
    </row>
    <row r="405" spans="1:21" x14ac:dyDescent="0.2">
      <c r="A405" t="s">
        <v>443</v>
      </c>
      <c r="B405" t="s">
        <v>45</v>
      </c>
      <c r="C405" t="s">
        <v>46</v>
      </c>
      <c r="D405" t="s">
        <v>31</v>
      </c>
      <c r="E405" t="s">
        <v>25</v>
      </c>
      <c r="F405" t="s">
        <v>49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27</v>
      </c>
      <c r="N405">
        <v>198.75</v>
      </c>
      <c r="O405">
        <v>4.7619047620000003</v>
      </c>
      <c r="P405">
        <v>9.9375</v>
      </c>
      <c r="Q405">
        <v>9.6</v>
      </c>
      <c r="R405" s="3">
        <f t="shared" si="24"/>
        <v>198.75</v>
      </c>
      <c r="S405" t="str">
        <f t="shared" si="25"/>
        <v>February</v>
      </c>
      <c r="T405">
        <f t="shared" si="26"/>
        <v>2</v>
      </c>
      <c r="U405" t="str">
        <f t="shared" si="27"/>
        <v>Friday</v>
      </c>
    </row>
    <row r="406" spans="1:21" x14ac:dyDescent="0.2">
      <c r="A406" t="s">
        <v>444</v>
      </c>
      <c r="B406" t="s">
        <v>29</v>
      </c>
      <c r="C406" t="s">
        <v>30</v>
      </c>
      <c r="D406" t="s">
        <v>24</v>
      </c>
      <c r="E406" t="s">
        <v>25</v>
      </c>
      <c r="F406" t="s">
        <v>49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27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3">
        <f t="shared" si="24"/>
        <v>684.53000000000009</v>
      </c>
      <c r="S406" t="str">
        <f t="shared" si="25"/>
        <v>February</v>
      </c>
      <c r="T406">
        <f t="shared" si="26"/>
        <v>2</v>
      </c>
      <c r="U406" t="str">
        <f t="shared" si="27"/>
        <v>Saturday</v>
      </c>
    </row>
    <row r="407" spans="1:21" x14ac:dyDescent="0.2">
      <c r="A407" t="s">
        <v>445</v>
      </c>
      <c r="B407" t="s">
        <v>22</v>
      </c>
      <c r="C407" t="s">
        <v>23</v>
      </c>
      <c r="D407" t="s">
        <v>24</v>
      </c>
      <c r="E407" t="s">
        <v>181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  <c r="R407" s="3">
        <f t="shared" si="24"/>
        <v>269.04000000000002</v>
      </c>
      <c r="S407" t="str">
        <f t="shared" si="25"/>
        <v>January</v>
      </c>
      <c r="T407">
        <f t="shared" si="26"/>
        <v>1</v>
      </c>
      <c r="U407" t="str">
        <f t="shared" si="27"/>
        <v>Saturday</v>
      </c>
    </row>
    <row r="408" spans="1:21" x14ac:dyDescent="0.2">
      <c r="A408" t="s">
        <v>446</v>
      </c>
      <c r="B408" t="s">
        <v>22</v>
      </c>
      <c r="C408" t="s">
        <v>23</v>
      </c>
      <c r="D408" t="s">
        <v>31</v>
      </c>
      <c r="E408" t="s">
        <v>181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  <c r="R408" s="3">
        <f t="shared" si="24"/>
        <v>68.949999999999989</v>
      </c>
      <c r="S408" t="str">
        <f t="shared" si="25"/>
        <v>November</v>
      </c>
      <c r="T408">
        <f t="shared" si="26"/>
        <v>11</v>
      </c>
      <c r="U408" t="str">
        <f t="shared" si="27"/>
        <v>Friday</v>
      </c>
    </row>
    <row r="409" spans="1:21" x14ac:dyDescent="0.2">
      <c r="A409" t="s">
        <v>447</v>
      </c>
      <c r="B409" t="s">
        <v>45</v>
      </c>
      <c r="C409" t="s">
        <v>46</v>
      </c>
      <c r="D409" t="s">
        <v>24</v>
      </c>
      <c r="E409" t="s">
        <v>25</v>
      </c>
      <c r="F409" t="s">
        <v>49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33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3">
        <f t="shared" si="24"/>
        <v>274.83999999999997</v>
      </c>
      <c r="S409" t="str">
        <f t="shared" si="25"/>
        <v>April</v>
      </c>
      <c r="T409">
        <f t="shared" si="26"/>
        <v>4</v>
      </c>
      <c r="U409" t="str">
        <f t="shared" si="27"/>
        <v>Monday</v>
      </c>
    </row>
    <row r="410" spans="1:21" x14ac:dyDescent="0.2">
      <c r="A410" t="s">
        <v>448</v>
      </c>
      <c r="B410" t="s">
        <v>22</v>
      </c>
      <c r="C410" t="s">
        <v>23</v>
      </c>
      <c r="D410" t="s">
        <v>31</v>
      </c>
      <c r="E410" t="s">
        <v>25</v>
      </c>
      <c r="F410" t="s">
        <v>35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27</v>
      </c>
      <c r="N410">
        <v>226.12</v>
      </c>
      <c r="O410">
        <v>4.7619047620000003</v>
      </c>
      <c r="P410">
        <v>11.305999999999999</v>
      </c>
      <c r="Q410">
        <v>5.5</v>
      </c>
      <c r="R410" s="3">
        <f t="shared" si="24"/>
        <v>226.12</v>
      </c>
      <c r="S410" t="str">
        <f t="shared" si="25"/>
        <v>April</v>
      </c>
      <c r="T410">
        <f t="shared" si="26"/>
        <v>4</v>
      </c>
      <c r="U410" t="str">
        <f t="shared" si="27"/>
        <v>Wednesday</v>
      </c>
    </row>
    <row r="411" spans="1:21" x14ac:dyDescent="0.2">
      <c r="A411" t="s">
        <v>449</v>
      </c>
      <c r="B411" t="s">
        <v>29</v>
      </c>
      <c r="C411" t="s">
        <v>30</v>
      </c>
      <c r="D411" t="s">
        <v>31</v>
      </c>
      <c r="E411" t="s">
        <v>25</v>
      </c>
      <c r="F411" t="s">
        <v>49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27</v>
      </c>
      <c r="N411">
        <v>119.1</v>
      </c>
      <c r="O411">
        <v>4.7619047620000003</v>
      </c>
      <c r="P411">
        <v>5.9550000000000001</v>
      </c>
      <c r="Q411">
        <v>5.4</v>
      </c>
      <c r="R411" s="3">
        <f t="shared" si="24"/>
        <v>119.1</v>
      </c>
      <c r="S411" t="str">
        <f t="shared" si="25"/>
        <v>January</v>
      </c>
      <c r="T411">
        <f t="shared" si="26"/>
        <v>1</v>
      </c>
      <c r="U411" t="str">
        <f t="shared" si="27"/>
        <v>Monday</v>
      </c>
    </row>
    <row r="412" spans="1:21" x14ac:dyDescent="0.2">
      <c r="A412" t="s">
        <v>450</v>
      </c>
      <c r="B412" t="s">
        <v>45</v>
      </c>
      <c r="C412" t="s">
        <v>46</v>
      </c>
      <c r="D412" t="s">
        <v>31</v>
      </c>
      <c r="E412" t="s">
        <v>25</v>
      </c>
      <c r="F412" t="s">
        <v>26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33</v>
      </c>
      <c r="N412">
        <v>342.1</v>
      </c>
      <c r="O412">
        <v>4.7619047620000003</v>
      </c>
      <c r="P412">
        <v>17.105</v>
      </c>
      <c r="Q412">
        <v>5.0999999999999996</v>
      </c>
      <c r="R412" s="3">
        <f t="shared" si="24"/>
        <v>342.1</v>
      </c>
      <c r="S412" t="str">
        <f t="shared" si="25"/>
        <v>February</v>
      </c>
      <c r="T412">
        <f t="shared" si="26"/>
        <v>2</v>
      </c>
      <c r="U412" t="str">
        <f t="shared" si="27"/>
        <v>Friday</v>
      </c>
    </row>
    <row r="413" spans="1:21" x14ac:dyDescent="0.2">
      <c r="A413" t="s">
        <v>451</v>
      </c>
      <c r="B413" t="s">
        <v>45</v>
      </c>
      <c r="C413" t="s">
        <v>46</v>
      </c>
      <c r="D413" t="s">
        <v>31</v>
      </c>
      <c r="E413" t="s">
        <v>181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27</v>
      </c>
      <c r="N413">
        <v>43.74</v>
      </c>
      <c r="O413">
        <v>4.7619047620000003</v>
      </c>
      <c r="P413">
        <v>2.1869999999999998</v>
      </c>
      <c r="Q413">
        <v>6.9</v>
      </c>
      <c r="R413" s="3">
        <f t="shared" si="24"/>
        <v>43.74</v>
      </c>
      <c r="S413" t="str">
        <f t="shared" si="25"/>
        <v>January</v>
      </c>
      <c r="T413">
        <f t="shared" si="26"/>
        <v>1</v>
      </c>
      <c r="U413" t="str">
        <f t="shared" si="27"/>
        <v>Friday</v>
      </c>
    </row>
    <row r="414" spans="1:21" x14ac:dyDescent="0.2">
      <c r="A414" t="s">
        <v>452</v>
      </c>
      <c r="B414" t="s">
        <v>22</v>
      </c>
      <c r="C414" t="s">
        <v>23</v>
      </c>
      <c r="D414" t="s">
        <v>24</v>
      </c>
      <c r="E414" t="s">
        <v>181</v>
      </c>
      <c r="F414" t="s">
        <v>26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33</v>
      </c>
      <c r="N414">
        <v>104.85</v>
      </c>
      <c r="O414">
        <v>4.7619047620000003</v>
      </c>
      <c r="P414">
        <v>5.2424999999999997</v>
      </c>
      <c r="Q414">
        <v>7.8</v>
      </c>
      <c r="R414" s="3">
        <f t="shared" si="24"/>
        <v>104.85</v>
      </c>
      <c r="S414" t="str">
        <f t="shared" si="25"/>
        <v>April</v>
      </c>
      <c r="T414">
        <f t="shared" si="26"/>
        <v>4</v>
      </c>
      <c r="U414" t="str">
        <f t="shared" si="27"/>
        <v>Monday</v>
      </c>
    </row>
    <row r="415" spans="1:21" x14ac:dyDescent="0.2">
      <c r="A415" t="s">
        <v>453</v>
      </c>
      <c r="B415" t="s">
        <v>22</v>
      </c>
      <c r="C415" t="s">
        <v>23</v>
      </c>
      <c r="D415" t="s">
        <v>31</v>
      </c>
      <c r="E415" t="s">
        <v>181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27</v>
      </c>
      <c r="N415">
        <v>77.52</v>
      </c>
      <c r="O415">
        <v>4.7619047620000003</v>
      </c>
      <c r="P415">
        <v>3.8759999999999999</v>
      </c>
      <c r="Q415">
        <v>6.6</v>
      </c>
      <c r="R415" s="3">
        <f t="shared" si="24"/>
        <v>77.52</v>
      </c>
      <c r="S415" t="str">
        <f t="shared" si="25"/>
        <v>October</v>
      </c>
      <c r="T415">
        <f t="shared" si="26"/>
        <v>10</v>
      </c>
      <c r="U415" t="str">
        <f t="shared" si="27"/>
        <v>Thursday</v>
      </c>
    </row>
    <row r="416" spans="1:21" x14ac:dyDescent="0.2">
      <c r="A416" t="s">
        <v>454</v>
      </c>
      <c r="B416" t="s">
        <v>22</v>
      </c>
      <c r="C416" t="s">
        <v>23</v>
      </c>
      <c r="D416" t="s">
        <v>31</v>
      </c>
      <c r="E416" t="s">
        <v>181</v>
      </c>
      <c r="F416" t="s">
        <v>35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27</v>
      </c>
      <c r="N416">
        <v>407.44</v>
      </c>
      <c r="O416">
        <v>4.7619047620000003</v>
      </c>
      <c r="P416">
        <v>20.372</v>
      </c>
      <c r="Q416">
        <v>9.1999999999999993</v>
      </c>
      <c r="R416" s="3">
        <f t="shared" si="24"/>
        <v>407.44</v>
      </c>
      <c r="S416" t="str">
        <f t="shared" si="25"/>
        <v>March</v>
      </c>
      <c r="T416">
        <f t="shared" si="26"/>
        <v>3</v>
      </c>
      <c r="U416" t="str">
        <f t="shared" si="27"/>
        <v>Friday</v>
      </c>
    </row>
    <row r="417" spans="1:21" x14ac:dyDescent="0.2">
      <c r="A417" t="s">
        <v>455</v>
      </c>
      <c r="B417" t="s">
        <v>45</v>
      </c>
      <c r="C417" t="s">
        <v>46</v>
      </c>
      <c r="D417" t="s">
        <v>31</v>
      </c>
      <c r="E417" t="s">
        <v>181</v>
      </c>
      <c r="F417" t="s">
        <v>26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27</v>
      </c>
      <c r="N417">
        <v>96.11</v>
      </c>
      <c r="O417">
        <v>4.7619047620000003</v>
      </c>
      <c r="P417">
        <v>4.8055000000000003</v>
      </c>
      <c r="Q417">
        <v>7.8</v>
      </c>
      <c r="R417" s="3">
        <f t="shared" si="24"/>
        <v>96.11</v>
      </c>
      <c r="S417" t="str">
        <f t="shared" si="25"/>
        <v>January</v>
      </c>
      <c r="T417">
        <f t="shared" si="26"/>
        <v>1</v>
      </c>
      <c r="U417" t="str">
        <f t="shared" si="27"/>
        <v>Friday</v>
      </c>
    </row>
    <row r="418" spans="1:21" x14ac:dyDescent="0.2">
      <c r="A418" t="s">
        <v>456</v>
      </c>
      <c r="B418" t="s">
        <v>29</v>
      </c>
      <c r="C418" t="s">
        <v>30</v>
      </c>
      <c r="D418" t="s">
        <v>31</v>
      </c>
      <c r="E418" t="s">
        <v>25</v>
      </c>
      <c r="F418" t="s">
        <v>35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3">
        <f t="shared" si="24"/>
        <v>181.52</v>
      </c>
      <c r="S418" t="str">
        <f t="shared" si="25"/>
        <v>August</v>
      </c>
      <c r="T418">
        <f t="shared" si="26"/>
        <v>8</v>
      </c>
      <c r="U418" t="str">
        <f t="shared" si="27"/>
        <v>Thursday</v>
      </c>
    </row>
    <row r="419" spans="1:21" x14ac:dyDescent="0.2">
      <c r="A419" t="s">
        <v>457</v>
      </c>
      <c r="B419" t="s">
        <v>29</v>
      </c>
      <c r="C419" t="s">
        <v>30</v>
      </c>
      <c r="D419" t="s">
        <v>24</v>
      </c>
      <c r="E419" t="s">
        <v>25</v>
      </c>
      <c r="F419" t="s">
        <v>26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27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3">
        <f t="shared" si="24"/>
        <v>81.510000000000005</v>
      </c>
      <c r="S419" t="str">
        <f t="shared" si="25"/>
        <v>January</v>
      </c>
      <c r="T419">
        <f t="shared" si="26"/>
        <v>1</v>
      </c>
      <c r="U419" t="str">
        <f t="shared" si="27"/>
        <v>Tuesday</v>
      </c>
    </row>
    <row r="420" spans="1:21" x14ac:dyDescent="0.2">
      <c r="A420" t="s">
        <v>458</v>
      </c>
      <c r="B420" t="s">
        <v>45</v>
      </c>
      <c r="C420" t="s">
        <v>46</v>
      </c>
      <c r="D420" t="s">
        <v>31</v>
      </c>
      <c r="E420" t="s">
        <v>25</v>
      </c>
      <c r="F420" t="s">
        <v>26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27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3">
        <f t="shared" si="24"/>
        <v>114.44</v>
      </c>
      <c r="S420" t="str">
        <f t="shared" si="25"/>
        <v>December</v>
      </c>
      <c r="T420">
        <f t="shared" si="26"/>
        <v>12</v>
      </c>
      <c r="U420" t="str">
        <f t="shared" si="27"/>
        <v>Sunday</v>
      </c>
    </row>
    <row r="421" spans="1:21" x14ac:dyDescent="0.2">
      <c r="A421" t="s">
        <v>459</v>
      </c>
      <c r="B421" t="s">
        <v>22</v>
      </c>
      <c r="C421" t="s">
        <v>23</v>
      </c>
      <c r="D421" t="s">
        <v>24</v>
      </c>
      <c r="E421" t="s">
        <v>25</v>
      </c>
      <c r="F421" t="s">
        <v>32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33</v>
      </c>
      <c r="N421">
        <v>176.54</v>
      </c>
      <c r="O421">
        <v>4.7619047620000003</v>
      </c>
      <c r="P421">
        <v>8.827</v>
      </c>
      <c r="Q421">
        <v>8.1999999999999993</v>
      </c>
      <c r="R421" s="3">
        <f t="shared" si="24"/>
        <v>176.54</v>
      </c>
      <c r="S421" t="str">
        <f t="shared" si="25"/>
        <v>April</v>
      </c>
      <c r="T421">
        <f t="shared" si="26"/>
        <v>4</v>
      </c>
      <c r="U421" t="str">
        <f t="shared" si="27"/>
        <v>Tuesday</v>
      </c>
    </row>
    <row r="422" spans="1:21" x14ac:dyDescent="0.2">
      <c r="A422" t="s">
        <v>460</v>
      </c>
      <c r="B422" t="s">
        <v>29</v>
      </c>
      <c r="C422" t="s">
        <v>30</v>
      </c>
      <c r="D422" t="s">
        <v>24</v>
      </c>
      <c r="E422" t="s">
        <v>25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27</v>
      </c>
      <c r="N422">
        <v>115.8</v>
      </c>
      <c r="O422">
        <v>4.7619047620000003</v>
      </c>
      <c r="P422">
        <v>5.79</v>
      </c>
      <c r="Q422">
        <v>7.5</v>
      </c>
      <c r="R422" s="3">
        <f t="shared" si="24"/>
        <v>115.80000000000001</v>
      </c>
      <c r="S422" t="str">
        <f t="shared" si="25"/>
        <v>March</v>
      </c>
      <c r="T422">
        <f t="shared" si="26"/>
        <v>3</v>
      </c>
      <c r="U422" t="str">
        <f t="shared" si="27"/>
        <v>Thursday</v>
      </c>
    </row>
    <row r="423" spans="1:21" x14ac:dyDescent="0.2">
      <c r="A423" t="s">
        <v>461</v>
      </c>
      <c r="B423" t="s">
        <v>29</v>
      </c>
      <c r="C423" t="s">
        <v>30</v>
      </c>
      <c r="D423" t="s">
        <v>31</v>
      </c>
      <c r="E423" t="s">
        <v>25</v>
      </c>
      <c r="F423" t="s">
        <v>32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33</v>
      </c>
      <c r="N423">
        <v>252.15</v>
      </c>
      <c r="O423">
        <v>4.7619047620000003</v>
      </c>
      <c r="P423">
        <v>12.6075</v>
      </c>
      <c r="Q423">
        <v>9.8000000000000007</v>
      </c>
      <c r="R423" s="3">
        <f t="shared" si="24"/>
        <v>252.14999999999998</v>
      </c>
      <c r="S423" t="str">
        <f t="shared" si="25"/>
        <v>January</v>
      </c>
      <c r="T423">
        <f t="shared" si="26"/>
        <v>1</v>
      </c>
      <c r="U423" t="str">
        <f t="shared" si="27"/>
        <v>Wednesday</v>
      </c>
    </row>
    <row r="424" spans="1:21" x14ac:dyDescent="0.2">
      <c r="A424" t="s">
        <v>462</v>
      </c>
      <c r="B424" t="s">
        <v>29</v>
      </c>
      <c r="C424" t="s">
        <v>30</v>
      </c>
      <c r="D424" t="s">
        <v>24</v>
      </c>
      <c r="E424" t="s">
        <v>25</v>
      </c>
      <c r="F424" t="s">
        <v>49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3">
        <f t="shared" si="24"/>
        <v>972.09999999999991</v>
      </c>
      <c r="S424" t="str">
        <f t="shared" si="25"/>
        <v>August</v>
      </c>
      <c r="T424">
        <f t="shared" si="26"/>
        <v>8</v>
      </c>
      <c r="U424" t="str">
        <f t="shared" si="27"/>
        <v>Friday</v>
      </c>
    </row>
    <row r="425" spans="1:21" x14ac:dyDescent="0.2">
      <c r="A425" t="s">
        <v>463</v>
      </c>
      <c r="B425" t="s">
        <v>45</v>
      </c>
      <c r="C425" t="s">
        <v>46</v>
      </c>
      <c r="D425" t="s">
        <v>24</v>
      </c>
      <c r="E425" t="s">
        <v>181</v>
      </c>
      <c r="F425" t="s">
        <v>49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  <c r="R425" s="3">
        <f t="shared" si="24"/>
        <v>203.36</v>
      </c>
      <c r="S425" t="str">
        <f t="shared" si="25"/>
        <v>March</v>
      </c>
      <c r="T425">
        <f t="shared" si="26"/>
        <v>3</v>
      </c>
      <c r="U425" t="str">
        <f t="shared" si="27"/>
        <v>Tuesday</v>
      </c>
    </row>
    <row r="426" spans="1:21" x14ac:dyDescent="0.2">
      <c r="A426" t="s">
        <v>464</v>
      </c>
      <c r="B426" t="s">
        <v>29</v>
      </c>
      <c r="C426" t="s">
        <v>30</v>
      </c>
      <c r="D426" t="s">
        <v>31</v>
      </c>
      <c r="E426" t="s">
        <v>181</v>
      </c>
      <c r="F426" t="s">
        <v>49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33</v>
      </c>
      <c r="N426">
        <v>16.28</v>
      </c>
      <c r="O426">
        <v>4.7619047620000003</v>
      </c>
      <c r="P426">
        <v>0.81399999999999995</v>
      </c>
      <c r="Q426">
        <v>5</v>
      </c>
      <c r="R426" s="3">
        <f t="shared" si="24"/>
        <v>16.28</v>
      </c>
      <c r="S426" t="str">
        <f t="shared" si="25"/>
        <v>September</v>
      </c>
      <c r="T426">
        <f t="shared" si="26"/>
        <v>9</v>
      </c>
      <c r="U426" t="str">
        <f t="shared" si="27"/>
        <v>Tuesday</v>
      </c>
    </row>
    <row r="427" spans="1:21" x14ac:dyDescent="0.2">
      <c r="A427" t="s">
        <v>465</v>
      </c>
      <c r="B427" t="s">
        <v>45</v>
      </c>
      <c r="C427" t="s">
        <v>46</v>
      </c>
      <c r="D427" t="s">
        <v>24</v>
      </c>
      <c r="E427" t="s">
        <v>181</v>
      </c>
      <c r="F427" t="s">
        <v>49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33</v>
      </c>
      <c r="N427">
        <v>365.49</v>
      </c>
      <c r="O427">
        <v>4.7619047620000003</v>
      </c>
      <c r="P427">
        <v>18.2745</v>
      </c>
      <c r="Q427">
        <v>7</v>
      </c>
      <c r="R427" s="3">
        <f t="shared" si="24"/>
        <v>365.49</v>
      </c>
      <c r="S427" t="str">
        <f t="shared" si="25"/>
        <v>February</v>
      </c>
      <c r="T427">
        <f t="shared" si="26"/>
        <v>2</v>
      </c>
      <c r="U427" t="str">
        <f t="shared" si="27"/>
        <v>Friday</v>
      </c>
    </row>
    <row r="428" spans="1:21" x14ac:dyDescent="0.2">
      <c r="A428" t="s">
        <v>466</v>
      </c>
      <c r="B428" t="s">
        <v>22</v>
      </c>
      <c r="C428" t="s">
        <v>23</v>
      </c>
      <c r="D428" t="s">
        <v>24</v>
      </c>
      <c r="E428" t="s">
        <v>181</v>
      </c>
      <c r="F428" t="s">
        <v>26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33</v>
      </c>
      <c r="N428">
        <v>372.19</v>
      </c>
      <c r="O428">
        <v>4.7619047620000003</v>
      </c>
      <c r="P428">
        <v>18.609500000000001</v>
      </c>
      <c r="Q428">
        <v>8.9</v>
      </c>
      <c r="R428" s="3">
        <f t="shared" si="24"/>
        <v>372.19</v>
      </c>
      <c r="S428" t="str">
        <f t="shared" si="25"/>
        <v>January</v>
      </c>
      <c r="T428">
        <f t="shared" si="26"/>
        <v>1</v>
      </c>
      <c r="U428" t="str">
        <f t="shared" si="27"/>
        <v>Monday</v>
      </c>
    </row>
    <row r="429" spans="1:21" x14ac:dyDescent="0.2">
      <c r="A429" t="s">
        <v>467</v>
      </c>
      <c r="B429" t="s">
        <v>45</v>
      </c>
      <c r="C429" t="s">
        <v>46</v>
      </c>
      <c r="D429" t="s">
        <v>24</v>
      </c>
      <c r="E429" t="s">
        <v>25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  <c r="R429" s="3">
        <f t="shared" si="24"/>
        <v>62.61</v>
      </c>
      <c r="S429" t="str">
        <f t="shared" si="25"/>
        <v>March</v>
      </c>
      <c r="T429">
        <f t="shared" si="26"/>
        <v>3</v>
      </c>
      <c r="U429" t="str">
        <f t="shared" si="27"/>
        <v>Wednesday</v>
      </c>
    </row>
    <row r="430" spans="1:21" x14ac:dyDescent="0.2">
      <c r="A430" t="s">
        <v>468</v>
      </c>
      <c r="B430" t="s">
        <v>45</v>
      </c>
      <c r="C430" t="s">
        <v>46</v>
      </c>
      <c r="D430" t="s">
        <v>31</v>
      </c>
      <c r="E430" t="s">
        <v>181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33</v>
      </c>
      <c r="N430">
        <v>336.35</v>
      </c>
      <c r="O430">
        <v>4.7619047620000003</v>
      </c>
      <c r="P430">
        <v>16.817499999999999</v>
      </c>
      <c r="Q430">
        <v>6.9</v>
      </c>
      <c r="R430" s="3">
        <f t="shared" si="24"/>
        <v>336.34999999999997</v>
      </c>
      <c r="S430" t="str">
        <f t="shared" si="25"/>
        <v>February</v>
      </c>
      <c r="T430">
        <f t="shared" si="26"/>
        <v>2</v>
      </c>
      <c r="U430" t="str">
        <f t="shared" si="27"/>
        <v>Wednesday</v>
      </c>
    </row>
    <row r="431" spans="1:21" x14ac:dyDescent="0.2">
      <c r="A431" t="s">
        <v>469</v>
      </c>
      <c r="B431" t="s">
        <v>22</v>
      </c>
      <c r="C431" t="s">
        <v>23</v>
      </c>
      <c r="D431" t="s">
        <v>24</v>
      </c>
      <c r="E431" t="s">
        <v>25</v>
      </c>
      <c r="F431" t="s">
        <v>35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27</v>
      </c>
      <c r="N431">
        <v>906.5</v>
      </c>
      <c r="O431">
        <v>4.7619047620000003</v>
      </c>
      <c r="P431">
        <v>45.325000000000003</v>
      </c>
      <c r="Q431">
        <v>7.3</v>
      </c>
      <c r="R431" s="3">
        <f t="shared" si="24"/>
        <v>906.5</v>
      </c>
      <c r="S431" t="str">
        <f t="shared" si="25"/>
        <v>August</v>
      </c>
      <c r="T431">
        <f t="shared" si="26"/>
        <v>8</v>
      </c>
      <c r="U431" t="str">
        <f t="shared" si="27"/>
        <v>Saturday</v>
      </c>
    </row>
    <row r="432" spans="1:21" x14ac:dyDescent="0.2">
      <c r="A432" t="s">
        <v>470</v>
      </c>
      <c r="B432" t="s">
        <v>45</v>
      </c>
      <c r="C432" t="s">
        <v>46</v>
      </c>
      <c r="D432" t="s">
        <v>31</v>
      </c>
      <c r="E432" t="s">
        <v>181</v>
      </c>
      <c r="F432" t="s">
        <v>49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  <c r="R432" s="3">
        <f t="shared" si="24"/>
        <v>138.16</v>
      </c>
      <c r="S432" t="str">
        <f t="shared" si="25"/>
        <v>January</v>
      </c>
      <c r="T432">
        <f t="shared" si="26"/>
        <v>1</v>
      </c>
      <c r="U432" t="str">
        <f t="shared" si="27"/>
        <v>Thursday</v>
      </c>
    </row>
    <row r="433" spans="1:21" x14ac:dyDescent="0.2">
      <c r="A433" t="s">
        <v>471</v>
      </c>
      <c r="B433" t="s">
        <v>29</v>
      </c>
      <c r="C433" t="s">
        <v>30</v>
      </c>
      <c r="D433" t="s">
        <v>31</v>
      </c>
      <c r="E433" t="s">
        <v>181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27</v>
      </c>
      <c r="N433">
        <v>86.54</v>
      </c>
      <c r="O433">
        <v>4.7619047620000003</v>
      </c>
      <c r="P433">
        <v>4.327</v>
      </c>
      <c r="Q433">
        <v>5.7</v>
      </c>
      <c r="R433" s="3">
        <f t="shared" si="24"/>
        <v>86.54</v>
      </c>
      <c r="S433" t="str">
        <f t="shared" si="25"/>
        <v>August</v>
      </c>
      <c r="T433">
        <f t="shared" si="26"/>
        <v>8</v>
      </c>
      <c r="U433" t="str">
        <f t="shared" si="27"/>
        <v>Saturday</v>
      </c>
    </row>
    <row r="434" spans="1:21" x14ac:dyDescent="0.2">
      <c r="A434" t="s">
        <v>472</v>
      </c>
      <c r="B434" t="s">
        <v>22</v>
      </c>
      <c r="C434" t="s">
        <v>23</v>
      </c>
      <c r="D434" t="s">
        <v>31</v>
      </c>
      <c r="E434" t="s">
        <v>25</v>
      </c>
      <c r="F434" t="s">
        <v>32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27</v>
      </c>
      <c r="N434">
        <v>140.76</v>
      </c>
      <c r="O434">
        <v>4.7619047620000003</v>
      </c>
      <c r="P434">
        <v>7.0380000000000003</v>
      </c>
      <c r="Q434">
        <v>6.4</v>
      </c>
      <c r="R434" s="3">
        <f t="shared" si="24"/>
        <v>140.76</v>
      </c>
      <c r="S434" t="str">
        <f t="shared" si="25"/>
        <v>January</v>
      </c>
      <c r="T434">
        <f t="shared" si="26"/>
        <v>1</v>
      </c>
      <c r="U434" t="str">
        <f t="shared" si="27"/>
        <v>Sunday</v>
      </c>
    </row>
    <row r="435" spans="1:21" x14ac:dyDescent="0.2">
      <c r="A435" t="s">
        <v>473</v>
      </c>
      <c r="B435" t="s">
        <v>45</v>
      </c>
      <c r="C435" t="s">
        <v>46</v>
      </c>
      <c r="D435" t="s">
        <v>31</v>
      </c>
      <c r="E435" t="s">
        <v>181</v>
      </c>
      <c r="F435" t="s">
        <v>49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  <c r="R435" s="3">
        <f t="shared" si="24"/>
        <v>668.78000000000009</v>
      </c>
      <c r="S435" t="str">
        <f t="shared" si="25"/>
        <v>September</v>
      </c>
      <c r="T435">
        <f t="shared" si="26"/>
        <v>9</v>
      </c>
      <c r="U435" t="str">
        <f t="shared" si="27"/>
        <v>Tuesday</v>
      </c>
    </row>
    <row r="436" spans="1:21" x14ac:dyDescent="0.2">
      <c r="A436" t="s">
        <v>474</v>
      </c>
      <c r="B436" t="s">
        <v>45</v>
      </c>
      <c r="C436" t="s">
        <v>46</v>
      </c>
      <c r="D436" t="s">
        <v>31</v>
      </c>
      <c r="E436" t="s">
        <v>25</v>
      </c>
      <c r="F436" t="s">
        <v>49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  <c r="R436" s="3">
        <f t="shared" si="24"/>
        <v>47.44</v>
      </c>
      <c r="S436" t="str">
        <f t="shared" si="25"/>
        <v>February</v>
      </c>
      <c r="T436">
        <f t="shared" si="26"/>
        <v>2</v>
      </c>
      <c r="U436" t="str">
        <f t="shared" si="27"/>
        <v>Friday</v>
      </c>
    </row>
    <row r="437" spans="1:21" x14ac:dyDescent="0.2">
      <c r="A437" t="s">
        <v>475</v>
      </c>
      <c r="B437" t="s">
        <v>29</v>
      </c>
      <c r="C437" t="s">
        <v>30</v>
      </c>
      <c r="D437" t="s">
        <v>31</v>
      </c>
      <c r="E437" t="s">
        <v>181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27</v>
      </c>
      <c r="N437">
        <v>893.16</v>
      </c>
      <c r="O437">
        <v>4.7619047620000003</v>
      </c>
      <c r="P437">
        <v>44.658000000000001</v>
      </c>
      <c r="Q437">
        <v>9</v>
      </c>
      <c r="R437" s="3">
        <f t="shared" si="24"/>
        <v>893.16</v>
      </c>
      <c r="S437" t="str">
        <f t="shared" si="25"/>
        <v>March</v>
      </c>
      <c r="T437">
        <f t="shared" si="26"/>
        <v>3</v>
      </c>
      <c r="U437" t="str">
        <f t="shared" si="27"/>
        <v>Tuesday</v>
      </c>
    </row>
    <row r="438" spans="1:21" x14ac:dyDescent="0.2">
      <c r="A438" t="s">
        <v>476</v>
      </c>
      <c r="B438" t="s">
        <v>29</v>
      </c>
      <c r="C438" t="s">
        <v>30</v>
      </c>
      <c r="D438" t="s">
        <v>24</v>
      </c>
      <c r="E438" t="s">
        <v>181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27</v>
      </c>
      <c r="N438">
        <v>331.72</v>
      </c>
      <c r="O438">
        <v>4.7619047620000003</v>
      </c>
      <c r="P438">
        <v>16.585999999999999</v>
      </c>
      <c r="Q438">
        <v>9.6</v>
      </c>
      <c r="R438" s="3">
        <f t="shared" si="24"/>
        <v>331.72</v>
      </c>
      <c r="S438" t="str">
        <f t="shared" si="25"/>
        <v>January</v>
      </c>
      <c r="T438">
        <f t="shared" si="26"/>
        <v>1</v>
      </c>
      <c r="U438" t="str">
        <f t="shared" si="27"/>
        <v>Sunday</v>
      </c>
    </row>
    <row r="439" spans="1:21" x14ac:dyDescent="0.2">
      <c r="A439" t="s">
        <v>477</v>
      </c>
      <c r="B439" t="s">
        <v>22</v>
      </c>
      <c r="C439" t="s">
        <v>23</v>
      </c>
      <c r="D439" t="s">
        <v>31</v>
      </c>
      <c r="E439" t="s">
        <v>181</v>
      </c>
      <c r="F439" t="s">
        <v>35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  <c r="R439" s="3">
        <f t="shared" si="24"/>
        <v>203.94</v>
      </c>
      <c r="S439" t="str">
        <f t="shared" si="25"/>
        <v>August</v>
      </c>
      <c r="T439">
        <f t="shared" si="26"/>
        <v>8</v>
      </c>
      <c r="U439" t="str">
        <f t="shared" si="27"/>
        <v>Saturday</v>
      </c>
    </row>
    <row r="440" spans="1:21" x14ac:dyDescent="0.2">
      <c r="A440" t="s">
        <v>478</v>
      </c>
      <c r="B440" t="s">
        <v>29</v>
      </c>
      <c r="C440" t="s">
        <v>30</v>
      </c>
      <c r="D440" t="s">
        <v>24</v>
      </c>
      <c r="E440" t="s">
        <v>181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27</v>
      </c>
      <c r="N440">
        <v>68.16</v>
      </c>
      <c r="O440">
        <v>4.7619047620000003</v>
      </c>
      <c r="P440">
        <v>3.4079999999999999</v>
      </c>
      <c r="Q440">
        <v>7</v>
      </c>
      <c r="R440" s="3">
        <f t="shared" si="24"/>
        <v>68.16</v>
      </c>
      <c r="S440" t="str">
        <f t="shared" si="25"/>
        <v>August</v>
      </c>
      <c r="T440">
        <f t="shared" si="26"/>
        <v>8</v>
      </c>
      <c r="U440" t="str">
        <f t="shared" si="27"/>
        <v>Saturday</v>
      </c>
    </row>
    <row r="441" spans="1:21" x14ac:dyDescent="0.2">
      <c r="A441" t="s">
        <v>479</v>
      </c>
      <c r="B441" t="s">
        <v>29</v>
      </c>
      <c r="C441" t="s">
        <v>30</v>
      </c>
      <c r="D441" t="s">
        <v>31</v>
      </c>
      <c r="E441" t="s">
        <v>25</v>
      </c>
      <c r="F441" t="s">
        <v>32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  <c r="R441" s="3">
        <f t="shared" si="24"/>
        <v>326.88</v>
      </c>
      <c r="S441" t="str">
        <f t="shared" si="25"/>
        <v>July</v>
      </c>
      <c r="T441">
        <f t="shared" si="26"/>
        <v>7</v>
      </c>
      <c r="U441" t="str">
        <f t="shared" si="27"/>
        <v>Tuesday</v>
      </c>
    </row>
    <row r="442" spans="1:21" x14ac:dyDescent="0.2">
      <c r="A442" t="s">
        <v>480</v>
      </c>
      <c r="B442" t="s">
        <v>29</v>
      </c>
      <c r="C442" t="s">
        <v>30</v>
      </c>
      <c r="D442" t="s">
        <v>24</v>
      </c>
      <c r="E442" t="s">
        <v>181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33</v>
      </c>
      <c r="N442">
        <v>87.2</v>
      </c>
      <c r="O442">
        <v>4.7619047620000003</v>
      </c>
      <c r="P442">
        <v>4.3600000000000003</v>
      </c>
      <c r="Q442">
        <v>8.1</v>
      </c>
      <c r="R442" s="3">
        <f t="shared" si="24"/>
        <v>87.2</v>
      </c>
      <c r="S442" t="str">
        <f t="shared" si="25"/>
        <v>January</v>
      </c>
      <c r="T442">
        <f t="shared" si="26"/>
        <v>1</v>
      </c>
      <c r="U442" t="str">
        <f t="shared" si="27"/>
        <v>Tuesday</v>
      </c>
    </row>
    <row r="443" spans="1:21" x14ac:dyDescent="0.2">
      <c r="A443" t="s">
        <v>481</v>
      </c>
      <c r="B443" t="s">
        <v>45</v>
      </c>
      <c r="C443" t="s">
        <v>46</v>
      </c>
      <c r="D443" t="s">
        <v>24</v>
      </c>
      <c r="E443" t="s">
        <v>25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  <c r="R443" s="3">
        <f t="shared" si="24"/>
        <v>707.44</v>
      </c>
      <c r="S443" t="str">
        <f t="shared" si="25"/>
        <v>March</v>
      </c>
      <c r="T443">
        <f t="shared" si="26"/>
        <v>3</v>
      </c>
      <c r="U443" t="str">
        <f t="shared" si="27"/>
        <v>Friday</v>
      </c>
    </row>
    <row r="444" spans="1:21" x14ac:dyDescent="0.2">
      <c r="A444" t="s">
        <v>482</v>
      </c>
      <c r="B444" t="s">
        <v>22</v>
      </c>
      <c r="C444" t="s">
        <v>23</v>
      </c>
      <c r="D444" t="s">
        <v>24</v>
      </c>
      <c r="E444" t="s">
        <v>25</v>
      </c>
      <c r="F444" t="s">
        <v>35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  <c r="R444" s="3">
        <f t="shared" si="24"/>
        <v>802.89</v>
      </c>
      <c r="S444" t="str">
        <f t="shared" si="25"/>
        <v>January</v>
      </c>
      <c r="T444">
        <f t="shared" si="26"/>
        <v>1</v>
      </c>
      <c r="U444" t="str">
        <f t="shared" si="27"/>
        <v>Tuesday</v>
      </c>
    </row>
    <row r="445" spans="1:21" x14ac:dyDescent="0.2">
      <c r="A445" t="s">
        <v>483</v>
      </c>
      <c r="B445" t="s">
        <v>29</v>
      </c>
      <c r="C445" t="s">
        <v>30</v>
      </c>
      <c r="D445" t="s">
        <v>31</v>
      </c>
      <c r="E445" t="s">
        <v>181</v>
      </c>
      <c r="F445" t="s">
        <v>49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27</v>
      </c>
      <c r="N445">
        <v>12.78</v>
      </c>
      <c r="O445">
        <v>4.7619047620000003</v>
      </c>
      <c r="P445">
        <v>0.63900000000000001</v>
      </c>
      <c r="Q445">
        <v>9.5</v>
      </c>
      <c r="R445" s="3">
        <f t="shared" si="24"/>
        <v>12.78</v>
      </c>
      <c r="S445" t="str">
        <f t="shared" si="25"/>
        <v>August</v>
      </c>
      <c r="T445">
        <f t="shared" si="26"/>
        <v>8</v>
      </c>
      <c r="U445" t="str">
        <f t="shared" si="27"/>
        <v>Thursday</v>
      </c>
    </row>
    <row r="446" spans="1:21" x14ac:dyDescent="0.2">
      <c r="A446" t="s">
        <v>484</v>
      </c>
      <c r="B446" t="s">
        <v>22</v>
      </c>
      <c r="C446" t="s">
        <v>23</v>
      </c>
      <c r="D446" t="s">
        <v>31</v>
      </c>
      <c r="E446" t="s">
        <v>25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33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3">
        <f t="shared" si="24"/>
        <v>133.70000000000002</v>
      </c>
      <c r="S446" t="str">
        <f t="shared" si="25"/>
        <v>January</v>
      </c>
      <c r="T446">
        <f t="shared" si="26"/>
        <v>1</v>
      </c>
      <c r="U446" t="str">
        <f t="shared" si="27"/>
        <v>Tuesday</v>
      </c>
    </row>
    <row r="447" spans="1:21" x14ac:dyDescent="0.2">
      <c r="A447" t="s">
        <v>485</v>
      </c>
      <c r="B447" t="s">
        <v>45</v>
      </c>
      <c r="C447" t="s">
        <v>46</v>
      </c>
      <c r="D447" t="s">
        <v>24</v>
      </c>
      <c r="E447" t="s">
        <v>25</v>
      </c>
      <c r="F447" t="s">
        <v>26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  <c r="R447" s="3">
        <f t="shared" si="24"/>
        <v>19.149999999999999</v>
      </c>
      <c r="S447" t="str">
        <f t="shared" si="25"/>
        <v>January</v>
      </c>
      <c r="T447">
        <f t="shared" si="26"/>
        <v>1</v>
      </c>
      <c r="U447" t="str">
        <f t="shared" si="27"/>
        <v>Monday</v>
      </c>
    </row>
    <row r="448" spans="1:21" x14ac:dyDescent="0.2">
      <c r="A448" t="s">
        <v>486</v>
      </c>
      <c r="B448" t="s">
        <v>29</v>
      </c>
      <c r="C448" t="s">
        <v>30</v>
      </c>
      <c r="D448" t="s">
        <v>24</v>
      </c>
      <c r="E448" t="s">
        <v>181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  <c r="R448" s="3">
        <f t="shared" si="24"/>
        <v>276.60000000000002</v>
      </c>
      <c r="S448" t="str">
        <f t="shared" si="25"/>
        <v>February</v>
      </c>
      <c r="T448">
        <f t="shared" si="26"/>
        <v>2</v>
      </c>
      <c r="U448" t="str">
        <f t="shared" si="27"/>
        <v>Thursday</v>
      </c>
    </row>
    <row r="449" spans="1:21" x14ac:dyDescent="0.2">
      <c r="A449" t="s">
        <v>487</v>
      </c>
      <c r="B449" t="s">
        <v>29</v>
      </c>
      <c r="C449" t="s">
        <v>30</v>
      </c>
      <c r="D449" t="s">
        <v>31</v>
      </c>
      <c r="E449" t="s">
        <v>181</v>
      </c>
      <c r="F449" t="s">
        <v>49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  <c r="R449" s="3">
        <f t="shared" si="24"/>
        <v>137.22</v>
      </c>
      <c r="S449" t="str">
        <f t="shared" si="25"/>
        <v>October</v>
      </c>
      <c r="T449">
        <f t="shared" si="26"/>
        <v>10</v>
      </c>
      <c r="U449" t="str">
        <f t="shared" si="27"/>
        <v>Thursday</v>
      </c>
    </row>
    <row r="450" spans="1:21" x14ac:dyDescent="0.2">
      <c r="A450" t="s">
        <v>488</v>
      </c>
      <c r="B450" t="s">
        <v>45</v>
      </c>
      <c r="C450" t="s">
        <v>46</v>
      </c>
      <c r="D450" t="s">
        <v>24</v>
      </c>
      <c r="E450" t="s">
        <v>25</v>
      </c>
      <c r="F450" t="s">
        <v>26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  <c r="R450" s="3">
        <f t="shared" si="24"/>
        <v>27.07</v>
      </c>
      <c r="S450" t="str">
        <f t="shared" si="25"/>
        <v>December</v>
      </c>
      <c r="T450">
        <f t="shared" si="26"/>
        <v>12</v>
      </c>
      <c r="U450" t="str">
        <f t="shared" si="27"/>
        <v>Sunday</v>
      </c>
    </row>
    <row r="451" spans="1:21" x14ac:dyDescent="0.2">
      <c r="A451" t="s">
        <v>489</v>
      </c>
      <c r="B451" t="s">
        <v>45</v>
      </c>
      <c r="C451" t="s">
        <v>46</v>
      </c>
      <c r="D451" t="s">
        <v>24</v>
      </c>
      <c r="E451" t="s">
        <v>25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  <c r="R451" s="3">
        <f t="shared" ref="R451:R514" si="28">H451*G451</f>
        <v>39.119999999999997</v>
      </c>
      <c r="S451" t="str">
        <f t="shared" ref="S451:S514" si="29">TEXT(K451,"mmmm")</f>
        <v>March</v>
      </c>
      <c r="T451">
        <f t="shared" ref="T451:T514" si="30">MONTH(K451)</f>
        <v>3</v>
      </c>
      <c r="U451" t="str">
        <f t="shared" ref="U451:U514" si="31">TEXT(K451,"dddd")</f>
        <v>Tuesday</v>
      </c>
    </row>
    <row r="452" spans="1:21" x14ac:dyDescent="0.2">
      <c r="A452" t="s">
        <v>490</v>
      </c>
      <c r="B452" t="s">
        <v>45</v>
      </c>
      <c r="C452" t="s">
        <v>46</v>
      </c>
      <c r="D452" t="s">
        <v>31</v>
      </c>
      <c r="E452" t="s">
        <v>25</v>
      </c>
      <c r="F452" t="s">
        <v>32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33</v>
      </c>
      <c r="N452">
        <v>448.26</v>
      </c>
      <c r="O452">
        <v>4.7619047620000003</v>
      </c>
      <c r="P452">
        <v>22.413</v>
      </c>
      <c r="Q452">
        <v>6.7</v>
      </c>
      <c r="R452" s="3">
        <f t="shared" si="28"/>
        <v>448.26</v>
      </c>
      <c r="S452" t="str">
        <f t="shared" si="29"/>
        <v>January</v>
      </c>
      <c r="T452">
        <f t="shared" si="30"/>
        <v>1</v>
      </c>
      <c r="U452" t="str">
        <f t="shared" si="31"/>
        <v>Tuesday</v>
      </c>
    </row>
    <row r="453" spans="1:21" x14ac:dyDescent="0.2">
      <c r="A453" t="s">
        <v>491</v>
      </c>
      <c r="B453" t="s">
        <v>45</v>
      </c>
      <c r="C453" t="s">
        <v>46</v>
      </c>
      <c r="D453" t="s">
        <v>31</v>
      </c>
      <c r="E453" t="s">
        <v>181</v>
      </c>
      <c r="F453" t="s">
        <v>32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33</v>
      </c>
      <c r="N453">
        <v>132.06</v>
      </c>
      <c r="O453">
        <v>4.7619047620000003</v>
      </c>
      <c r="P453">
        <v>6.6029999999999998</v>
      </c>
      <c r="Q453">
        <v>7.6</v>
      </c>
      <c r="R453" s="3">
        <f t="shared" si="28"/>
        <v>132.06</v>
      </c>
      <c r="S453" t="str">
        <f t="shared" si="29"/>
        <v>February</v>
      </c>
      <c r="T453">
        <f t="shared" si="30"/>
        <v>2</v>
      </c>
      <c r="U453" t="str">
        <f t="shared" si="31"/>
        <v>Friday</v>
      </c>
    </row>
    <row r="454" spans="1:21" x14ac:dyDescent="0.2">
      <c r="A454" t="s">
        <v>492</v>
      </c>
      <c r="B454" t="s">
        <v>22</v>
      </c>
      <c r="C454" t="s">
        <v>23</v>
      </c>
      <c r="D454" t="s">
        <v>31</v>
      </c>
      <c r="E454" t="s">
        <v>25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27</v>
      </c>
      <c r="N454">
        <v>318.05</v>
      </c>
      <c r="O454">
        <v>4.7619047620000003</v>
      </c>
      <c r="P454">
        <v>15.9025</v>
      </c>
      <c r="Q454">
        <v>4.8</v>
      </c>
      <c r="R454" s="3">
        <f t="shared" si="28"/>
        <v>318.05</v>
      </c>
      <c r="S454" t="str">
        <f t="shared" si="29"/>
        <v>March</v>
      </c>
      <c r="T454">
        <f t="shared" si="30"/>
        <v>3</v>
      </c>
      <c r="U454" t="str">
        <f t="shared" si="31"/>
        <v>Saturday</v>
      </c>
    </row>
    <row r="455" spans="1:21" x14ac:dyDescent="0.2">
      <c r="A455" t="s">
        <v>493</v>
      </c>
      <c r="B455" t="s">
        <v>22</v>
      </c>
      <c r="C455" t="s">
        <v>23</v>
      </c>
      <c r="D455" t="s">
        <v>31</v>
      </c>
      <c r="E455" t="s">
        <v>181</v>
      </c>
      <c r="F455" t="s">
        <v>26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27</v>
      </c>
      <c r="N455">
        <v>25</v>
      </c>
      <c r="O455">
        <v>4.7619047620000003</v>
      </c>
      <c r="P455">
        <v>1.25</v>
      </c>
      <c r="Q455">
        <v>5.5</v>
      </c>
      <c r="R455" s="3">
        <f t="shared" si="28"/>
        <v>25</v>
      </c>
      <c r="S455" t="str">
        <f t="shared" si="29"/>
        <v>March</v>
      </c>
      <c r="T455">
        <f t="shared" si="30"/>
        <v>3</v>
      </c>
      <c r="U455" t="str">
        <f t="shared" si="31"/>
        <v>Sunday</v>
      </c>
    </row>
    <row r="456" spans="1:21" x14ac:dyDescent="0.2">
      <c r="A456" t="s">
        <v>494</v>
      </c>
      <c r="B456" t="s">
        <v>22</v>
      </c>
      <c r="C456" t="s">
        <v>23</v>
      </c>
      <c r="D456" t="s">
        <v>24</v>
      </c>
      <c r="E456" t="s">
        <v>181</v>
      </c>
      <c r="F456" t="s">
        <v>32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33</v>
      </c>
      <c r="N456">
        <v>83.08</v>
      </c>
      <c r="O456">
        <v>4.7619047620000003</v>
      </c>
      <c r="P456">
        <v>4.1539999999999999</v>
      </c>
      <c r="Q456">
        <v>4.7</v>
      </c>
      <c r="R456" s="3">
        <f t="shared" si="28"/>
        <v>83.08</v>
      </c>
      <c r="S456" t="str">
        <f t="shared" si="29"/>
        <v>January</v>
      </c>
      <c r="T456">
        <f t="shared" si="30"/>
        <v>1</v>
      </c>
      <c r="U456" t="str">
        <f t="shared" si="31"/>
        <v>Thursday</v>
      </c>
    </row>
    <row r="457" spans="1:21" x14ac:dyDescent="0.2">
      <c r="A457" t="s">
        <v>495</v>
      </c>
      <c r="B457" t="s">
        <v>45</v>
      </c>
      <c r="C457" t="s">
        <v>46</v>
      </c>
      <c r="D457" t="s">
        <v>24</v>
      </c>
      <c r="E457" t="s">
        <v>25</v>
      </c>
      <c r="F457" t="s">
        <v>49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33</v>
      </c>
      <c r="N457">
        <v>147.80000000000001</v>
      </c>
      <c r="O457">
        <v>4.7619047620000003</v>
      </c>
      <c r="P457">
        <v>7.39</v>
      </c>
      <c r="Q457">
        <v>6.9</v>
      </c>
      <c r="R457" s="3">
        <f t="shared" si="28"/>
        <v>147.79999999999998</v>
      </c>
      <c r="S457" t="str">
        <f t="shared" si="29"/>
        <v>February</v>
      </c>
      <c r="T457">
        <f t="shared" si="30"/>
        <v>2</v>
      </c>
      <c r="U457" t="str">
        <f t="shared" si="31"/>
        <v>Wednesday</v>
      </c>
    </row>
    <row r="458" spans="1:21" x14ac:dyDescent="0.2">
      <c r="A458" t="s">
        <v>496</v>
      </c>
      <c r="B458" t="s">
        <v>45</v>
      </c>
      <c r="C458" t="s">
        <v>46</v>
      </c>
      <c r="D458" t="s">
        <v>24</v>
      </c>
      <c r="E458" t="s">
        <v>25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  <c r="R458" s="3">
        <f t="shared" si="28"/>
        <v>696.6</v>
      </c>
      <c r="S458" t="str">
        <f t="shared" si="29"/>
        <v>February</v>
      </c>
      <c r="T458">
        <f t="shared" si="30"/>
        <v>2</v>
      </c>
      <c r="U458" t="str">
        <f t="shared" si="31"/>
        <v>Friday</v>
      </c>
    </row>
    <row r="459" spans="1:21" x14ac:dyDescent="0.2">
      <c r="A459" t="s">
        <v>497</v>
      </c>
      <c r="B459" t="s">
        <v>45</v>
      </c>
      <c r="C459" t="s">
        <v>46</v>
      </c>
      <c r="D459" t="s">
        <v>31</v>
      </c>
      <c r="E459" t="s">
        <v>181</v>
      </c>
      <c r="F459" t="s">
        <v>32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33</v>
      </c>
      <c r="N459">
        <v>793.9</v>
      </c>
      <c r="O459">
        <v>4.7619047620000003</v>
      </c>
      <c r="P459">
        <v>39.695</v>
      </c>
      <c r="Q459">
        <v>6.2</v>
      </c>
      <c r="R459" s="3">
        <f t="shared" si="28"/>
        <v>793.9</v>
      </c>
      <c r="S459" t="str">
        <f t="shared" si="29"/>
        <v>July</v>
      </c>
      <c r="T459">
        <f t="shared" si="30"/>
        <v>7</v>
      </c>
      <c r="U459" t="str">
        <f t="shared" si="31"/>
        <v>Tuesday</v>
      </c>
    </row>
    <row r="460" spans="1:21" x14ac:dyDescent="0.2">
      <c r="A460" t="s">
        <v>498</v>
      </c>
      <c r="B460" t="s">
        <v>29</v>
      </c>
      <c r="C460" t="s">
        <v>30</v>
      </c>
      <c r="D460" t="s">
        <v>24</v>
      </c>
      <c r="E460" t="s">
        <v>25</v>
      </c>
      <c r="F460" t="s">
        <v>32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33</v>
      </c>
      <c r="N460">
        <v>465.7</v>
      </c>
      <c r="O460">
        <v>4.7619047620000003</v>
      </c>
      <c r="P460">
        <v>23.285</v>
      </c>
      <c r="Q460">
        <v>7.6</v>
      </c>
      <c r="R460" s="3">
        <f t="shared" si="28"/>
        <v>465.7</v>
      </c>
      <c r="S460" t="str">
        <f t="shared" si="29"/>
        <v>January</v>
      </c>
      <c r="T460">
        <f t="shared" si="30"/>
        <v>1</v>
      </c>
      <c r="U460" t="str">
        <f t="shared" si="31"/>
        <v>Sunday</v>
      </c>
    </row>
    <row r="461" spans="1:21" x14ac:dyDescent="0.2">
      <c r="A461" t="s">
        <v>499</v>
      </c>
      <c r="B461" t="s">
        <v>29</v>
      </c>
      <c r="C461" t="s">
        <v>30</v>
      </c>
      <c r="D461" t="s">
        <v>31</v>
      </c>
      <c r="E461" t="s">
        <v>181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  <c r="R461" s="3">
        <f t="shared" si="28"/>
        <v>35.89</v>
      </c>
      <c r="S461" t="str">
        <f t="shared" si="29"/>
        <v>February</v>
      </c>
      <c r="T461">
        <f t="shared" si="30"/>
        <v>2</v>
      </c>
      <c r="U461" t="str">
        <f t="shared" si="31"/>
        <v>Saturday</v>
      </c>
    </row>
    <row r="462" spans="1:21" x14ac:dyDescent="0.2">
      <c r="A462" t="s">
        <v>500</v>
      </c>
      <c r="B462" t="s">
        <v>29</v>
      </c>
      <c r="C462" t="s">
        <v>30</v>
      </c>
      <c r="D462" t="s">
        <v>31</v>
      </c>
      <c r="E462" t="s">
        <v>181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33</v>
      </c>
      <c r="N462">
        <v>202.6</v>
      </c>
      <c r="O462">
        <v>4.7619047620000003</v>
      </c>
      <c r="P462">
        <v>10.130000000000001</v>
      </c>
      <c r="Q462">
        <v>4.5</v>
      </c>
      <c r="R462" s="3">
        <f t="shared" si="28"/>
        <v>202.60000000000002</v>
      </c>
      <c r="S462" t="str">
        <f t="shared" si="29"/>
        <v>March</v>
      </c>
      <c r="T462">
        <f t="shared" si="30"/>
        <v>3</v>
      </c>
      <c r="U462" t="str">
        <f t="shared" si="31"/>
        <v>Saturday</v>
      </c>
    </row>
    <row r="463" spans="1:21" x14ac:dyDescent="0.2">
      <c r="A463" t="s">
        <v>501</v>
      </c>
      <c r="B463" t="s">
        <v>45</v>
      </c>
      <c r="C463" t="s">
        <v>46</v>
      </c>
      <c r="D463" t="s">
        <v>24</v>
      </c>
      <c r="E463" t="s">
        <v>25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3">
        <f t="shared" si="28"/>
        <v>730.5</v>
      </c>
      <c r="S463" t="str">
        <f t="shared" si="29"/>
        <v>March</v>
      </c>
      <c r="T463">
        <f t="shared" si="30"/>
        <v>3</v>
      </c>
      <c r="U463" t="str">
        <f t="shared" si="31"/>
        <v>Sunday</v>
      </c>
    </row>
    <row r="464" spans="1:21" x14ac:dyDescent="0.2">
      <c r="A464" t="s">
        <v>502</v>
      </c>
      <c r="B464" t="s">
        <v>29</v>
      </c>
      <c r="C464" t="s">
        <v>30</v>
      </c>
      <c r="D464" t="s">
        <v>31</v>
      </c>
      <c r="E464" t="s">
        <v>25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33</v>
      </c>
      <c r="N464">
        <v>295.8</v>
      </c>
      <c r="O464">
        <v>4.7619047620000003</v>
      </c>
      <c r="P464">
        <v>14.79</v>
      </c>
      <c r="Q464">
        <v>6.1</v>
      </c>
      <c r="R464" s="3">
        <f t="shared" si="28"/>
        <v>295.8</v>
      </c>
      <c r="S464" t="str">
        <f t="shared" si="29"/>
        <v>March</v>
      </c>
      <c r="T464">
        <f t="shared" si="30"/>
        <v>3</v>
      </c>
      <c r="U464" t="str">
        <f t="shared" si="31"/>
        <v>Saturday</v>
      </c>
    </row>
    <row r="465" spans="1:21" x14ac:dyDescent="0.2">
      <c r="A465" t="s">
        <v>503</v>
      </c>
      <c r="B465" t="s">
        <v>29</v>
      </c>
      <c r="C465" t="s">
        <v>30</v>
      </c>
      <c r="D465" t="s">
        <v>24</v>
      </c>
      <c r="E465" t="s">
        <v>25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33</v>
      </c>
      <c r="N465">
        <v>22.62</v>
      </c>
      <c r="O465">
        <v>4.7619047620000003</v>
      </c>
      <c r="P465">
        <v>1.131</v>
      </c>
      <c r="Q465">
        <v>6.4</v>
      </c>
      <c r="R465" s="3">
        <f t="shared" si="28"/>
        <v>22.62</v>
      </c>
      <c r="S465" t="str">
        <f t="shared" si="29"/>
        <v>March</v>
      </c>
      <c r="T465">
        <f t="shared" si="30"/>
        <v>3</v>
      </c>
      <c r="U465" t="str">
        <f t="shared" si="31"/>
        <v>Sunday</v>
      </c>
    </row>
    <row r="466" spans="1:21" x14ac:dyDescent="0.2">
      <c r="A466" t="s">
        <v>504</v>
      </c>
      <c r="B466" t="s">
        <v>22</v>
      </c>
      <c r="C466" t="s">
        <v>23</v>
      </c>
      <c r="D466" t="s">
        <v>24</v>
      </c>
      <c r="E466" t="s">
        <v>181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  <c r="R466" s="3">
        <f t="shared" si="28"/>
        <v>256.70000000000005</v>
      </c>
      <c r="S466" t="str">
        <f t="shared" si="29"/>
        <v>March</v>
      </c>
      <c r="T466">
        <f t="shared" si="30"/>
        <v>3</v>
      </c>
      <c r="U466" t="str">
        <f t="shared" si="31"/>
        <v>Thursday</v>
      </c>
    </row>
    <row r="467" spans="1:21" x14ac:dyDescent="0.2">
      <c r="A467" t="s">
        <v>505</v>
      </c>
      <c r="B467" t="s">
        <v>29</v>
      </c>
      <c r="C467" t="s">
        <v>30</v>
      </c>
      <c r="D467" t="s">
        <v>24</v>
      </c>
      <c r="E467" t="s">
        <v>25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  <c r="R467" s="3">
        <f t="shared" si="28"/>
        <v>545.5</v>
      </c>
      <c r="S467" t="str">
        <f t="shared" si="29"/>
        <v>February</v>
      </c>
      <c r="T467">
        <f t="shared" si="30"/>
        <v>2</v>
      </c>
      <c r="U467" t="str">
        <f t="shared" si="31"/>
        <v>Sunday</v>
      </c>
    </row>
    <row r="468" spans="1:21" x14ac:dyDescent="0.2">
      <c r="A468" t="s">
        <v>506</v>
      </c>
      <c r="B468" t="s">
        <v>29</v>
      </c>
      <c r="C468" t="s">
        <v>30</v>
      </c>
      <c r="D468" t="s">
        <v>24</v>
      </c>
      <c r="E468" t="s">
        <v>25</v>
      </c>
      <c r="F468" t="s">
        <v>26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  <c r="R468" s="3">
        <f t="shared" si="28"/>
        <v>260.05</v>
      </c>
      <c r="S468" t="str">
        <f t="shared" si="29"/>
        <v>August</v>
      </c>
      <c r="T468">
        <f t="shared" si="30"/>
        <v>8</v>
      </c>
      <c r="U468" t="str">
        <f t="shared" si="31"/>
        <v>Friday</v>
      </c>
    </row>
    <row r="469" spans="1:21" x14ac:dyDescent="0.2">
      <c r="A469" t="s">
        <v>507</v>
      </c>
      <c r="B469" t="s">
        <v>45</v>
      </c>
      <c r="C469" t="s">
        <v>46</v>
      </c>
      <c r="D469" t="s">
        <v>31</v>
      </c>
      <c r="E469" t="s">
        <v>181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33</v>
      </c>
      <c r="N469">
        <v>222.12</v>
      </c>
      <c r="O469">
        <v>4.7619047620000003</v>
      </c>
      <c r="P469">
        <v>11.106</v>
      </c>
      <c r="Q469">
        <v>4.5</v>
      </c>
      <c r="R469" s="3">
        <f t="shared" si="28"/>
        <v>222.12</v>
      </c>
      <c r="S469" t="str">
        <f t="shared" si="29"/>
        <v>March</v>
      </c>
      <c r="T469">
        <f t="shared" si="30"/>
        <v>3</v>
      </c>
      <c r="U469" t="str">
        <f t="shared" si="31"/>
        <v>Friday</v>
      </c>
    </row>
    <row r="470" spans="1:21" x14ac:dyDescent="0.2">
      <c r="A470" t="s">
        <v>508</v>
      </c>
      <c r="B470" t="s">
        <v>29</v>
      </c>
      <c r="C470" t="s">
        <v>30</v>
      </c>
      <c r="D470" t="s">
        <v>31</v>
      </c>
      <c r="E470" t="s">
        <v>181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27</v>
      </c>
      <c r="N470">
        <v>21.58</v>
      </c>
      <c r="O470">
        <v>4.7619047620000003</v>
      </c>
      <c r="P470">
        <v>1.079</v>
      </c>
      <c r="Q470">
        <v>7.2</v>
      </c>
      <c r="R470" s="3">
        <f t="shared" si="28"/>
        <v>21.58</v>
      </c>
      <c r="S470" t="str">
        <f t="shared" si="29"/>
        <v>September</v>
      </c>
      <c r="T470">
        <f t="shared" si="30"/>
        <v>9</v>
      </c>
      <c r="U470" t="str">
        <f t="shared" si="31"/>
        <v>Monday</v>
      </c>
    </row>
    <row r="471" spans="1:21" x14ac:dyDescent="0.2">
      <c r="A471" t="s">
        <v>509</v>
      </c>
      <c r="B471" t="s">
        <v>29</v>
      </c>
      <c r="C471" t="s">
        <v>30</v>
      </c>
      <c r="D471" t="s">
        <v>24</v>
      </c>
      <c r="E471" t="s">
        <v>25</v>
      </c>
      <c r="F471" t="s">
        <v>32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33</v>
      </c>
      <c r="N471">
        <v>98.84</v>
      </c>
      <c r="O471">
        <v>4.7619047620000003</v>
      </c>
      <c r="P471">
        <v>4.9420000000000002</v>
      </c>
      <c r="Q471">
        <v>8.4</v>
      </c>
      <c r="R471" s="3">
        <f t="shared" si="28"/>
        <v>98.84</v>
      </c>
      <c r="S471" t="str">
        <f t="shared" si="29"/>
        <v>February</v>
      </c>
      <c r="T471">
        <f t="shared" si="30"/>
        <v>2</v>
      </c>
      <c r="U471" t="str">
        <f t="shared" si="31"/>
        <v>Friday</v>
      </c>
    </row>
    <row r="472" spans="1:21" x14ac:dyDescent="0.2">
      <c r="A472" t="s">
        <v>510</v>
      </c>
      <c r="B472" t="s">
        <v>29</v>
      </c>
      <c r="C472" t="s">
        <v>30</v>
      </c>
      <c r="D472" t="s">
        <v>24</v>
      </c>
      <c r="E472" t="s">
        <v>25</v>
      </c>
      <c r="F472" t="s">
        <v>35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27</v>
      </c>
      <c r="N472">
        <v>502.62</v>
      </c>
      <c r="O472">
        <v>4.7619047620000003</v>
      </c>
      <c r="P472">
        <v>25.131</v>
      </c>
      <c r="Q472">
        <v>5.4</v>
      </c>
      <c r="R472" s="3">
        <f t="shared" si="28"/>
        <v>502.62</v>
      </c>
      <c r="S472" t="str">
        <f t="shared" si="29"/>
        <v>January</v>
      </c>
      <c r="T472">
        <f t="shared" si="30"/>
        <v>1</v>
      </c>
      <c r="U472" t="str">
        <f t="shared" si="31"/>
        <v>Wednesday</v>
      </c>
    </row>
    <row r="473" spans="1:21" x14ac:dyDescent="0.2">
      <c r="A473" t="s">
        <v>511</v>
      </c>
      <c r="B473" t="s">
        <v>22</v>
      </c>
      <c r="C473" t="s">
        <v>23</v>
      </c>
      <c r="D473" t="s">
        <v>24</v>
      </c>
      <c r="E473" t="s">
        <v>25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33</v>
      </c>
      <c r="N473">
        <v>160.19999999999999</v>
      </c>
      <c r="O473">
        <v>4.7619047620000003</v>
      </c>
      <c r="P473">
        <v>8.01</v>
      </c>
      <c r="Q473">
        <v>9.6999999999999993</v>
      </c>
      <c r="R473" s="3">
        <f t="shared" si="28"/>
        <v>160.19999999999999</v>
      </c>
      <c r="S473" t="str">
        <f t="shared" si="29"/>
        <v>January</v>
      </c>
      <c r="T473">
        <f t="shared" si="30"/>
        <v>1</v>
      </c>
      <c r="U473" t="str">
        <f t="shared" si="31"/>
        <v>Friday</v>
      </c>
    </row>
    <row r="474" spans="1:21" x14ac:dyDescent="0.2">
      <c r="A474" t="s">
        <v>512</v>
      </c>
      <c r="B474" t="s">
        <v>22</v>
      </c>
      <c r="C474" t="s">
        <v>23</v>
      </c>
      <c r="D474" t="s">
        <v>24</v>
      </c>
      <c r="E474" t="s">
        <v>181</v>
      </c>
      <c r="F474" t="s">
        <v>49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  <c r="R474" s="3">
        <f t="shared" si="28"/>
        <v>431.3</v>
      </c>
      <c r="S474" t="str">
        <f t="shared" si="29"/>
        <v>February</v>
      </c>
      <c r="T474">
        <f t="shared" si="30"/>
        <v>2</v>
      </c>
      <c r="U474" t="str">
        <f t="shared" si="31"/>
        <v>Saturday</v>
      </c>
    </row>
    <row r="475" spans="1:21" x14ac:dyDescent="0.2">
      <c r="A475" t="s">
        <v>513</v>
      </c>
      <c r="B475" t="s">
        <v>45</v>
      </c>
      <c r="C475" t="s">
        <v>46</v>
      </c>
      <c r="D475" t="s">
        <v>24</v>
      </c>
      <c r="E475" t="s">
        <v>181</v>
      </c>
      <c r="F475" t="s">
        <v>26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33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3">
        <f t="shared" si="28"/>
        <v>580.55999999999995</v>
      </c>
      <c r="S475" t="str">
        <f t="shared" si="29"/>
        <v>March</v>
      </c>
      <c r="T475">
        <f t="shared" si="30"/>
        <v>3</v>
      </c>
      <c r="U475" t="str">
        <f t="shared" si="31"/>
        <v>Saturday</v>
      </c>
    </row>
    <row r="476" spans="1:21" x14ac:dyDescent="0.2">
      <c r="A476" t="s">
        <v>514</v>
      </c>
      <c r="B476" t="s">
        <v>22</v>
      </c>
      <c r="C476" t="s">
        <v>23</v>
      </c>
      <c r="D476" t="s">
        <v>24</v>
      </c>
      <c r="E476" t="s">
        <v>25</v>
      </c>
      <c r="F476" t="s">
        <v>32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33</v>
      </c>
      <c r="N476">
        <v>322.2</v>
      </c>
      <c r="O476">
        <v>4.7619047620000003</v>
      </c>
      <c r="P476">
        <v>16.11</v>
      </c>
      <c r="Q476">
        <v>6.6</v>
      </c>
      <c r="R476" s="3">
        <f t="shared" si="28"/>
        <v>322.2</v>
      </c>
      <c r="S476" t="str">
        <f t="shared" si="29"/>
        <v>March</v>
      </c>
      <c r="T476">
        <f t="shared" si="30"/>
        <v>3</v>
      </c>
      <c r="U476" t="str">
        <f t="shared" si="31"/>
        <v>Saturday</v>
      </c>
    </row>
    <row r="477" spans="1:21" x14ac:dyDescent="0.2">
      <c r="A477" t="s">
        <v>515</v>
      </c>
      <c r="B477" t="s">
        <v>22</v>
      </c>
      <c r="C477" t="s">
        <v>23</v>
      </c>
      <c r="D477" t="s">
        <v>31</v>
      </c>
      <c r="E477" t="s">
        <v>181</v>
      </c>
      <c r="F477" t="s">
        <v>26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  <c r="R477" s="3">
        <f t="shared" si="28"/>
        <v>195.54000000000002</v>
      </c>
      <c r="S477" t="str">
        <f t="shared" si="29"/>
        <v>February</v>
      </c>
      <c r="T477">
        <f t="shared" si="30"/>
        <v>2</v>
      </c>
      <c r="U477" t="str">
        <f t="shared" si="31"/>
        <v>Monday</v>
      </c>
    </row>
    <row r="478" spans="1:21" x14ac:dyDescent="0.2">
      <c r="A478" t="s">
        <v>516</v>
      </c>
      <c r="B478" t="s">
        <v>22</v>
      </c>
      <c r="C478" t="s">
        <v>23</v>
      </c>
      <c r="D478" t="s">
        <v>31</v>
      </c>
      <c r="E478" t="s">
        <v>25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  <c r="R478" s="3">
        <f t="shared" si="28"/>
        <v>166.29999999999998</v>
      </c>
      <c r="S478" t="str">
        <f t="shared" si="29"/>
        <v>March</v>
      </c>
      <c r="T478">
        <f t="shared" si="30"/>
        <v>3</v>
      </c>
      <c r="U478" t="str">
        <f t="shared" si="31"/>
        <v>Monday</v>
      </c>
    </row>
    <row r="479" spans="1:21" x14ac:dyDescent="0.2">
      <c r="A479" t="s">
        <v>517</v>
      </c>
      <c r="B479" t="s">
        <v>29</v>
      </c>
      <c r="C479" t="s">
        <v>30</v>
      </c>
      <c r="D479" t="s">
        <v>31</v>
      </c>
      <c r="E479" t="s">
        <v>181</v>
      </c>
      <c r="F479" t="s">
        <v>32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27</v>
      </c>
      <c r="N479">
        <v>336.28</v>
      </c>
      <c r="O479">
        <v>4.7619047620000003</v>
      </c>
      <c r="P479">
        <v>16.814</v>
      </c>
      <c r="Q479">
        <v>4.4000000000000004</v>
      </c>
      <c r="R479" s="3">
        <f t="shared" si="28"/>
        <v>336.28</v>
      </c>
      <c r="S479" t="str">
        <f t="shared" si="29"/>
        <v>July</v>
      </c>
      <c r="T479">
        <f t="shared" si="30"/>
        <v>7</v>
      </c>
      <c r="U479" t="str">
        <f t="shared" si="31"/>
        <v>Wednesday</v>
      </c>
    </row>
    <row r="480" spans="1:21" x14ac:dyDescent="0.2">
      <c r="A480" t="s">
        <v>518</v>
      </c>
      <c r="B480" t="s">
        <v>45</v>
      </c>
      <c r="C480" t="s">
        <v>46</v>
      </c>
      <c r="D480" t="s">
        <v>31</v>
      </c>
      <c r="E480" t="s">
        <v>181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27</v>
      </c>
      <c r="N480">
        <v>343.7</v>
      </c>
      <c r="O480">
        <v>4.7619047620000003</v>
      </c>
      <c r="P480">
        <v>17.184999999999999</v>
      </c>
      <c r="Q480">
        <v>6.7</v>
      </c>
      <c r="R480" s="3">
        <f t="shared" si="28"/>
        <v>343.7</v>
      </c>
      <c r="S480" t="str">
        <f t="shared" si="29"/>
        <v>March</v>
      </c>
      <c r="T480">
        <f t="shared" si="30"/>
        <v>3</v>
      </c>
      <c r="U480" t="str">
        <f t="shared" si="31"/>
        <v>Saturday</v>
      </c>
    </row>
    <row r="481" spans="1:21" x14ac:dyDescent="0.2">
      <c r="A481" t="s">
        <v>519</v>
      </c>
      <c r="B481" t="s">
        <v>22</v>
      </c>
      <c r="C481" t="s">
        <v>23</v>
      </c>
      <c r="D481" t="s">
        <v>31</v>
      </c>
      <c r="E481" t="s">
        <v>181</v>
      </c>
      <c r="F481" t="s">
        <v>32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27</v>
      </c>
      <c r="N481">
        <v>38.6</v>
      </c>
      <c r="O481">
        <v>4.7619047620000003</v>
      </c>
      <c r="P481">
        <v>1.93</v>
      </c>
      <c r="Q481">
        <v>6.7</v>
      </c>
      <c r="R481" s="3">
        <f t="shared" si="28"/>
        <v>38.6</v>
      </c>
      <c r="S481" t="str">
        <f t="shared" si="29"/>
        <v>January</v>
      </c>
      <c r="T481">
        <f t="shared" si="30"/>
        <v>1</v>
      </c>
      <c r="U481" t="str">
        <f t="shared" si="31"/>
        <v>Tuesday</v>
      </c>
    </row>
    <row r="482" spans="1:21" x14ac:dyDescent="0.2">
      <c r="A482" t="s">
        <v>520</v>
      </c>
      <c r="B482" t="s">
        <v>29</v>
      </c>
      <c r="C482" t="s">
        <v>30</v>
      </c>
      <c r="D482" t="s">
        <v>31</v>
      </c>
      <c r="E482" t="s">
        <v>181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33</v>
      </c>
      <c r="N482">
        <v>527.76</v>
      </c>
      <c r="O482">
        <v>4.7619047620000003</v>
      </c>
      <c r="P482">
        <v>26.388000000000002</v>
      </c>
      <c r="Q482">
        <v>8.4</v>
      </c>
      <c r="R482" s="3">
        <f t="shared" si="28"/>
        <v>527.76</v>
      </c>
      <c r="S482" t="str">
        <f t="shared" si="29"/>
        <v>February</v>
      </c>
      <c r="T482">
        <f t="shared" si="30"/>
        <v>2</v>
      </c>
      <c r="U482" t="str">
        <f t="shared" si="31"/>
        <v>Saturday</v>
      </c>
    </row>
    <row r="483" spans="1:21" x14ac:dyDescent="0.2">
      <c r="A483" t="s">
        <v>521</v>
      </c>
      <c r="B483" t="s">
        <v>29</v>
      </c>
      <c r="C483" t="s">
        <v>30</v>
      </c>
      <c r="D483" t="s">
        <v>31</v>
      </c>
      <c r="E483" t="s">
        <v>25</v>
      </c>
      <c r="F483" t="s">
        <v>32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33</v>
      </c>
      <c r="N483">
        <v>328</v>
      </c>
      <c r="O483">
        <v>4.7619047620000003</v>
      </c>
      <c r="P483">
        <v>16.399999999999999</v>
      </c>
      <c r="Q483">
        <v>6.2</v>
      </c>
      <c r="R483" s="3">
        <f t="shared" si="28"/>
        <v>328</v>
      </c>
      <c r="S483" t="str">
        <f t="shared" si="29"/>
        <v>February</v>
      </c>
      <c r="T483">
        <f t="shared" si="30"/>
        <v>2</v>
      </c>
      <c r="U483" t="str">
        <f t="shared" si="31"/>
        <v>Friday</v>
      </c>
    </row>
    <row r="484" spans="1:21" x14ac:dyDescent="0.2">
      <c r="A484" t="s">
        <v>522</v>
      </c>
      <c r="B484" t="s">
        <v>22</v>
      </c>
      <c r="C484" t="s">
        <v>23</v>
      </c>
      <c r="D484" t="s">
        <v>31</v>
      </c>
      <c r="E484" t="s">
        <v>181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27</v>
      </c>
      <c r="N484">
        <v>185.7</v>
      </c>
      <c r="O484">
        <v>4.7619047620000003</v>
      </c>
      <c r="P484">
        <v>9.2850000000000001</v>
      </c>
      <c r="Q484">
        <v>5</v>
      </c>
      <c r="R484" s="3">
        <f t="shared" si="28"/>
        <v>185.7</v>
      </c>
      <c r="S484" t="str">
        <f t="shared" si="29"/>
        <v>August</v>
      </c>
      <c r="T484">
        <f t="shared" si="30"/>
        <v>8</v>
      </c>
      <c r="U484" t="str">
        <f t="shared" si="31"/>
        <v>Thursday</v>
      </c>
    </row>
    <row r="485" spans="1:21" x14ac:dyDescent="0.2">
      <c r="A485" t="s">
        <v>523</v>
      </c>
      <c r="B485" t="s">
        <v>45</v>
      </c>
      <c r="C485" t="s">
        <v>46</v>
      </c>
      <c r="D485" t="s">
        <v>24</v>
      </c>
      <c r="E485" t="s">
        <v>181</v>
      </c>
      <c r="F485" t="s">
        <v>35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33</v>
      </c>
      <c r="N485">
        <v>603.79999999999995</v>
      </c>
      <c r="O485">
        <v>4.7619047620000003</v>
      </c>
      <c r="P485">
        <v>30.19</v>
      </c>
      <c r="Q485">
        <v>6</v>
      </c>
      <c r="R485" s="3">
        <f t="shared" si="28"/>
        <v>603.80000000000007</v>
      </c>
      <c r="S485" t="str">
        <f t="shared" si="29"/>
        <v>December</v>
      </c>
      <c r="T485">
        <f t="shared" si="30"/>
        <v>12</v>
      </c>
      <c r="U485" t="str">
        <f t="shared" si="31"/>
        <v>Monday</v>
      </c>
    </row>
    <row r="486" spans="1:21" x14ac:dyDescent="0.2">
      <c r="A486" t="s">
        <v>524</v>
      </c>
      <c r="B486" t="s">
        <v>29</v>
      </c>
      <c r="C486" t="s">
        <v>30</v>
      </c>
      <c r="D486" t="s">
        <v>24</v>
      </c>
      <c r="E486" t="s">
        <v>25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  <c r="R486" s="3">
        <f t="shared" si="28"/>
        <v>369.79999999999995</v>
      </c>
      <c r="S486" t="str">
        <f t="shared" si="29"/>
        <v>January</v>
      </c>
      <c r="T486">
        <f t="shared" si="30"/>
        <v>1</v>
      </c>
      <c r="U486" t="str">
        <f t="shared" si="31"/>
        <v>Tuesday</v>
      </c>
    </row>
    <row r="487" spans="1:21" x14ac:dyDescent="0.2">
      <c r="A487" t="s">
        <v>525</v>
      </c>
      <c r="B487" t="s">
        <v>45</v>
      </c>
      <c r="C487" t="s">
        <v>46</v>
      </c>
      <c r="D487" t="s">
        <v>24</v>
      </c>
      <c r="E487" t="s">
        <v>25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27</v>
      </c>
      <c r="N487">
        <v>197.96</v>
      </c>
      <c r="O487">
        <v>4.7619047620000003</v>
      </c>
      <c r="P487">
        <v>9.8979999999999997</v>
      </c>
      <c r="Q487">
        <v>6.6</v>
      </c>
      <c r="R487" s="3">
        <f t="shared" si="28"/>
        <v>197.96</v>
      </c>
      <c r="S487" t="str">
        <f t="shared" si="29"/>
        <v>March</v>
      </c>
      <c r="T487">
        <f t="shared" si="30"/>
        <v>3</v>
      </c>
      <c r="U487" t="str">
        <f t="shared" si="31"/>
        <v>Thursday</v>
      </c>
    </row>
    <row r="488" spans="1:21" x14ac:dyDescent="0.2">
      <c r="A488" t="s">
        <v>526</v>
      </c>
      <c r="B488" t="s">
        <v>45</v>
      </c>
      <c r="C488" t="s">
        <v>46</v>
      </c>
      <c r="D488" t="s">
        <v>31</v>
      </c>
      <c r="E488" t="s">
        <v>25</v>
      </c>
      <c r="F488" t="s">
        <v>49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33</v>
      </c>
      <c r="N488">
        <v>410.9</v>
      </c>
      <c r="O488">
        <v>4.7619047620000003</v>
      </c>
      <c r="P488">
        <v>20.545000000000002</v>
      </c>
      <c r="Q488">
        <v>7.3</v>
      </c>
      <c r="R488" s="3">
        <f t="shared" si="28"/>
        <v>410.90000000000003</v>
      </c>
      <c r="S488" t="str">
        <f t="shared" si="29"/>
        <v>February</v>
      </c>
      <c r="T488">
        <f t="shared" si="30"/>
        <v>2</v>
      </c>
      <c r="U488" t="str">
        <f t="shared" si="31"/>
        <v>Thursday</v>
      </c>
    </row>
    <row r="489" spans="1:21" x14ac:dyDescent="0.2">
      <c r="A489" t="s">
        <v>527</v>
      </c>
      <c r="B489" t="s">
        <v>22</v>
      </c>
      <c r="C489" t="s">
        <v>23</v>
      </c>
      <c r="D489" t="s">
        <v>31</v>
      </c>
      <c r="E489" t="s">
        <v>181</v>
      </c>
      <c r="F489" t="s">
        <v>49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27</v>
      </c>
      <c r="N489">
        <v>148.6</v>
      </c>
      <c r="O489">
        <v>4.7619047620000003</v>
      </c>
      <c r="P489">
        <v>7.43</v>
      </c>
      <c r="Q489">
        <v>8.3000000000000007</v>
      </c>
      <c r="R489" s="3">
        <f t="shared" si="28"/>
        <v>148.6</v>
      </c>
      <c r="S489" t="str">
        <f t="shared" si="29"/>
        <v>March</v>
      </c>
      <c r="T489">
        <f t="shared" si="30"/>
        <v>3</v>
      </c>
      <c r="U489" t="str">
        <f t="shared" si="31"/>
        <v>Saturday</v>
      </c>
    </row>
    <row r="490" spans="1:21" x14ac:dyDescent="0.2">
      <c r="A490" t="s">
        <v>528</v>
      </c>
      <c r="B490" t="s">
        <v>29</v>
      </c>
      <c r="C490" t="s">
        <v>30</v>
      </c>
      <c r="D490" t="s">
        <v>31</v>
      </c>
      <c r="E490" t="s">
        <v>181</v>
      </c>
      <c r="F490" t="s">
        <v>35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33</v>
      </c>
      <c r="N490">
        <v>22.96</v>
      </c>
      <c r="O490">
        <v>4.7619047620000003</v>
      </c>
      <c r="P490">
        <v>1.1479999999999999</v>
      </c>
      <c r="Q490">
        <v>4.3</v>
      </c>
      <c r="R490" s="3">
        <f t="shared" si="28"/>
        <v>22.96</v>
      </c>
      <c r="S490" t="str">
        <f t="shared" si="29"/>
        <v>January</v>
      </c>
      <c r="T490">
        <f t="shared" si="30"/>
        <v>1</v>
      </c>
      <c r="U490" t="str">
        <f t="shared" si="31"/>
        <v>Wednesday</v>
      </c>
    </row>
    <row r="491" spans="1:21" x14ac:dyDescent="0.2">
      <c r="A491" t="s">
        <v>529</v>
      </c>
      <c r="B491" t="s">
        <v>45</v>
      </c>
      <c r="C491" t="s">
        <v>46</v>
      </c>
      <c r="D491" t="s">
        <v>24</v>
      </c>
      <c r="E491" t="s">
        <v>25</v>
      </c>
      <c r="F491" t="s">
        <v>35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27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3">
        <f t="shared" si="28"/>
        <v>699.12000000000012</v>
      </c>
      <c r="S491" t="str">
        <f t="shared" si="29"/>
        <v>April</v>
      </c>
      <c r="T491">
        <f t="shared" si="30"/>
        <v>4</v>
      </c>
      <c r="U491" t="str">
        <f t="shared" si="31"/>
        <v>Tuesday</v>
      </c>
    </row>
    <row r="492" spans="1:21" x14ac:dyDescent="0.2">
      <c r="A492" t="s">
        <v>530</v>
      </c>
      <c r="B492" t="s">
        <v>45</v>
      </c>
      <c r="C492" t="s">
        <v>46</v>
      </c>
      <c r="D492" t="s">
        <v>31</v>
      </c>
      <c r="E492" t="s">
        <v>25</v>
      </c>
      <c r="F492" t="s">
        <v>49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27</v>
      </c>
      <c r="N492">
        <v>69.400000000000006</v>
      </c>
      <c r="O492">
        <v>4.7619047620000003</v>
      </c>
      <c r="P492">
        <v>3.47</v>
      </c>
      <c r="Q492">
        <v>8.1999999999999993</v>
      </c>
      <c r="R492" s="3">
        <f t="shared" si="28"/>
        <v>69.400000000000006</v>
      </c>
      <c r="S492" t="str">
        <f t="shared" si="29"/>
        <v>March</v>
      </c>
      <c r="T492">
        <f t="shared" si="30"/>
        <v>3</v>
      </c>
      <c r="U492" t="str">
        <f t="shared" si="31"/>
        <v>Wednesday</v>
      </c>
    </row>
    <row r="493" spans="1:21" x14ac:dyDescent="0.2">
      <c r="A493" t="s">
        <v>531</v>
      </c>
      <c r="B493" t="s">
        <v>22</v>
      </c>
      <c r="C493" t="s">
        <v>23</v>
      </c>
      <c r="D493" t="s">
        <v>24</v>
      </c>
      <c r="E493" t="s">
        <v>25</v>
      </c>
      <c r="F493" t="s">
        <v>49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  <c r="R493" s="3">
        <f t="shared" si="28"/>
        <v>196.6</v>
      </c>
      <c r="S493" t="str">
        <f t="shared" si="29"/>
        <v>March</v>
      </c>
      <c r="T493">
        <f t="shared" si="30"/>
        <v>3</v>
      </c>
      <c r="U493" t="str">
        <f t="shared" si="31"/>
        <v>Friday</v>
      </c>
    </row>
    <row r="494" spans="1:21" x14ac:dyDescent="0.2">
      <c r="A494" t="s">
        <v>532</v>
      </c>
      <c r="B494" t="s">
        <v>45</v>
      </c>
      <c r="C494" t="s">
        <v>46</v>
      </c>
      <c r="D494" t="s">
        <v>24</v>
      </c>
      <c r="E494" t="s">
        <v>25</v>
      </c>
      <c r="F494" t="s">
        <v>26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27</v>
      </c>
      <c r="N494">
        <v>202.56</v>
      </c>
      <c r="O494">
        <v>4.7619047620000003</v>
      </c>
      <c r="P494">
        <v>10.128</v>
      </c>
      <c r="Q494">
        <v>8.6999999999999993</v>
      </c>
      <c r="R494" s="3">
        <f t="shared" si="28"/>
        <v>202.56</v>
      </c>
      <c r="S494" t="str">
        <f t="shared" si="29"/>
        <v>May</v>
      </c>
      <c r="T494">
        <f t="shared" si="30"/>
        <v>5</v>
      </c>
      <c r="U494" t="str">
        <f t="shared" si="31"/>
        <v>Friday</v>
      </c>
    </row>
    <row r="495" spans="1:21" x14ac:dyDescent="0.2">
      <c r="A495" t="s">
        <v>533</v>
      </c>
      <c r="B495" t="s">
        <v>29</v>
      </c>
      <c r="C495" t="s">
        <v>30</v>
      </c>
      <c r="D495" t="s">
        <v>24</v>
      </c>
      <c r="E495" t="s">
        <v>25</v>
      </c>
      <c r="F495" t="s">
        <v>35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  <c r="R495" s="3">
        <f t="shared" si="28"/>
        <v>121.19999999999999</v>
      </c>
      <c r="S495" t="str">
        <f t="shared" si="29"/>
        <v>May</v>
      </c>
      <c r="T495">
        <f t="shared" si="30"/>
        <v>5</v>
      </c>
      <c r="U495" t="str">
        <f t="shared" si="31"/>
        <v>Friday</v>
      </c>
    </row>
    <row r="496" spans="1:21" x14ac:dyDescent="0.2">
      <c r="A496" t="s">
        <v>534</v>
      </c>
      <c r="B496" t="s">
        <v>45</v>
      </c>
      <c r="C496" t="s">
        <v>46</v>
      </c>
      <c r="D496" t="s">
        <v>31</v>
      </c>
      <c r="E496" t="s">
        <v>181</v>
      </c>
      <c r="F496" t="s">
        <v>49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27</v>
      </c>
      <c r="N496">
        <v>199.78</v>
      </c>
      <c r="O496">
        <v>4.7619047620000003</v>
      </c>
      <c r="P496">
        <v>9.9890000000000008</v>
      </c>
      <c r="Q496">
        <v>7.1</v>
      </c>
      <c r="R496" s="3">
        <f t="shared" si="28"/>
        <v>199.78</v>
      </c>
      <c r="S496" t="str">
        <f t="shared" si="29"/>
        <v>February</v>
      </c>
      <c r="T496">
        <f t="shared" si="30"/>
        <v>2</v>
      </c>
      <c r="U496" t="str">
        <f t="shared" si="31"/>
        <v>Tuesday</v>
      </c>
    </row>
    <row r="497" spans="1:21" x14ac:dyDescent="0.2">
      <c r="A497" t="s">
        <v>535</v>
      </c>
      <c r="B497" t="s">
        <v>45</v>
      </c>
      <c r="C497" t="s">
        <v>46</v>
      </c>
      <c r="D497" t="s">
        <v>31</v>
      </c>
      <c r="E497" t="s">
        <v>181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33</v>
      </c>
      <c r="N497">
        <v>607.36</v>
      </c>
      <c r="O497">
        <v>4.7619047620000003</v>
      </c>
      <c r="P497">
        <v>30.367999999999999</v>
      </c>
      <c r="Q497">
        <v>5.5</v>
      </c>
      <c r="R497" s="3">
        <f t="shared" si="28"/>
        <v>607.36</v>
      </c>
      <c r="S497" t="str">
        <f t="shared" si="29"/>
        <v>March</v>
      </c>
      <c r="T497">
        <f t="shared" si="30"/>
        <v>3</v>
      </c>
      <c r="U497" t="str">
        <f t="shared" si="31"/>
        <v>Wednesday</v>
      </c>
    </row>
    <row r="498" spans="1:21" x14ac:dyDescent="0.2">
      <c r="A498" t="s">
        <v>536</v>
      </c>
      <c r="B498" t="s">
        <v>29</v>
      </c>
      <c r="C498" t="s">
        <v>30</v>
      </c>
      <c r="D498" t="s">
        <v>31</v>
      </c>
      <c r="E498" t="s">
        <v>25</v>
      </c>
      <c r="F498" t="s">
        <v>32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33</v>
      </c>
      <c r="N498">
        <v>126.44</v>
      </c>
      <c r="O498">
        <v>4.7619047620000003</v>
      </c>
      <c r="P498">
        <v>6.3220000000000001</v>
      </c>
      <c r="Q498">
        <v>8.5</v>
      </c>
      <c r="R498" s="3">
        <f t="shared" si="28"/>
        <v>126.44</v>
      </c>
      <c r="S498" t="str">
        <f t="shared" si="29"/>
        <v>January</v>
      </c>
      <c r="T498">
        <f t="shared" si="30"/>
        <v>1</v>
      </c>
      <c r="U498" t="str">
        <f t="shared" si="31"/>
        <v>Tuesday</v>
      </c>
    </row>
    <row r="499" spans="1:21" x14ac:dyDescent="0.2">
      <c r="A499" t="s">
        <v>537</v>
      </c>
      <c r="B499" t="s">
        <v>29</v>
      </c>
      <c r="C499" t="s">
        <v>30</v>
      </c>
      <c r="D499" t="s">
        <v>31</v>
      </c>
      <c r="E499" t="s">
        <v>25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33</v>
      </c>
      <c r="N499">
        <v>541.44000000000005</v>
      </c>
      <c r="O499">
        <v>4.7619047620000003</v>
      </c>
      <c r="P499">
        <v>27.071999999999999</v>
      </c>
      <c r="Q499">
        <v>6.2</v>
      </c>
      <c r="R499" s="3">
        <f t="shared" si="28"/>
        <v>541.43999999999994</v>
      </c>
      <c r="S499" t="str">
        <f t="shared" si="29"/>
        <v>January</v>
      </c>
      <c r="T499">
        <f t="shared" si="30"/>
        <v>1</v>
      </c>
      <c r="U499" t="str">
        <f t="shared" si="31"/>
        <v>Sunday</v>
      </c>
    </row>
    <row r="500" spans="1:21" x14ac:dyDescent="0.2">
      <c r="A500" t="s">
        <v>538</v>
      </c>
      <c r="B500" t="s">
        <v>45</v>
      </c>
      <c r="C500" t="s">
        <v>46</v>
      </c>
      <c r="D500" t="s">
        <v>24</v>
      </c>
      <c r="E500" t="s">
        <v>25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33</v>
      </c>
      <c r="N500">
        <v>98.13</v>
      </c>
      <c r="O500">
        <v>4.7619047620000003</v>
      </c>
      <c r="P500">
        <v>4.9065000000000003</v>
      </c>
      <c r="Q500">
        <v>8.9</v>
      </c>
      <c r="R500" s="3">
        <f t="shared" si="28"/>
        <v>98.13</v>
      </c>
      <c r="S500" t="str">
        <f t="shared" si="29"/>
        <v>January</v>
      </c>
      <c r="T500">
        <f t="shared" si="30"/>
        <v>1</v>
      </c>
      <c r="U500" t="str">
        <f t="shared" si="31"/>
        <v>Monday</v>
      </c>
    </row>
    <row r="501" spans="1:21" x14ac:dyDescent="0.2">
      <c r="A501" t="s">
        <v>539</v>
      </c>
      <c r="B501" t="s">
        <v>22</v>
      </c>
      <c r="C501" t="s">
        <v>23</v>
      </c>
      <c r="D501" t="s">
        <v>24</v>
      </c>
      <c r="E501" t="s">
        <v>25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33</v>
      </c>
      <c r="N501">
        <v>412.16</v>
      </c>
      <c r="O501">
        <v>4.7619047620000003</v>
      </c>
      <c r="P501">
        <v>20.608000000000001</v>
      </c>
      <c r="Q501">
        <v>9.6</v>
      </c>
      <c r="R501" s="3">
        <f t="shared" si="28"/>
        <v>412.16</v>
      </c>
      <c r="S501" t="str">
        <f t="shared" si="29"/>
        <v>February</v>
      </c>
      <c r="T501">
        <f t="shared" si="30"/>
        <v>2</v>
      </c>
      <c r="U501" t="str">
        <f t="shared" si="31"/>
        <v>Saturday</v>
      </c>
    </row>
    <row r="502" spans="1:21" x14ac:dyDescent="0.2">
      <c r="A502" t="s">
        <v>540</v>
      </c>
      <c r="B502" t="s">
        <v>45</v>
      </c>
      <c r="C502" t="s">
        <v>46</v>
      </c>
      <c r="D502" t="s">
        <v>24</v>
      </c>
      <c r="E502" t="s">
        <v>181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  <c r="R502" s="3">
        <f t="shared" si="28"/>
        <v>73.97</v>
      </c>
      <c r="S502" t="str">
        <f t="shared" si="29"/>
        <v>March</v>
      </c>
      <c r="T502">
        <f t="shared" si="30"/>
        <v>3</v>
      </c>
      <c r="U502" t="str">
        <f t="shared" si="31"/>
        <v>Saturday</v>
      </c>
    </row>
    <row r="503" spans="1:21" x14ac:dyDescent="0.2">
      <c r="A503" t="s">
        <v>541</v>
      </c>
      <c r="B503" t="s">
        <v>29</v>
      </c>
      <c r="C503" t="s">
        <v>30</v>
      </c>
      <c r="D503" t="s">
        <v>24</v>
      </c>
      <c r="E503" t="s">
        <v>25</v>
      </c>
      <c r="F503" t="s">
        <v>49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27</v>
      </c>
      <c r="N503">
        <v>31.9</v>
      </c>
      <c r="O503">
        <v>4.7619047620000003</v>
      </c>
      <c r="P503">
        <v>1.595</v>
      </c>
      <c r="Q503">
        <v>9.1</v>
      </c>
      <c r="R503" s="3">
        <f t="shared" si="28"/>
        <v>31.9</v>
      </c>
      <c r="S503" t="str">
        <f t="shared" si="29"/>
        <v>May</v>
      </c>
      <c r="T503">
        <f t="shared" si="30"/>
        <v>5</v>
      </c>
      <c r="U503" t="str">
        <f t="shared" si="31"/>
        <v>Wednesday</v>
      </c>
    </row>
    <row r="504" spans="1:21" x14ac:dyDescent="0.2">
      <c r="A504" t="s">
        <v>542</v>
      </c>
      <c r="B504" t="s">
        <v>29</v>
      </c>
      <c r="C504" t="s">
        <v>30</v>
      </c>
      <c r="D504" t="s">
        <v>31</v>
      </c>
      <c r="E504" t="s">
        <v>181</v>
      </c>
      <c r="F504" t="s">
        <v>35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27</v>
      </c>
      <c r="N504">
        <v>138.80000000000001</v>
      </c>
      <c r="O504">
        <v>4.7619047620000003</v>
      </c>
      <c r="P504">
        <v>6.94</v>
      </c>
      <c r="Q504">
        <v>9</v>
      </c>
      <c r="R504" s="3">
        <f t="shared" si="28"/>
        <v>138.80000000000001</v>
      </c>
      <c r="S504" t="str">
        <f t="shared" si="29"/>
        <v>January</v>
      </c>
      <c r="T504">
        <f t="shared" si="30"/>
        <v>1</v>
      </c>
      <c r="U504" t="str">
        <f t="shared" si="31"/>
        <v>Sunday</v>
      </c>
    </row>
    <row r="505" spans="1:21" x14ac:dyDescent="0.2">
      <c r="A505" t="s">
        <v>543</v>
      </c>
      <c r="B505" t="s">
        <v>45</v>
      </c>
      <c r="C505" t="s">
        <v>46</v>
      </c>
      <c r="D505" t="s">
        <v>31</v>
      </c>
      <c r="E505" t="s">
        <v>25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33</v>
      </c>
      <c r="N505">
        <v>186.62</v>
      </c>
      <c r="O505">
        <v>4.7619047620000003</v>
      </c>
      <c r="P505">
        <v>9.3309999999999995</v>
      </c>
      <c r="Q505">
        <v>6.3</v>
      </c>
      <c r="R505" s="3">
        <f t="shared" si="28"/>
        <v>186.62</v>
      </c>
      <c r="S505" t="str">
        <f t="shared" si="29"/>
        <v>March</v>
      </c>
      <c r="T505">
        <f t="shared" si="30"/>
        <v>3</v>
      </c>
      <c r="U505" t="str">
        <f t="shared" si="31"/>
        <v>Monday</v>
      </c>
    </row>
    <row r="506" spans="1:21" x14ac:dyDescent="0.2">
      <c r="A506" t="s">
        <v>544</v>
      </c>
      <c r="B506" t="s">
        <v>45</v>
      </c>
      <c r="C506" t="s">
        <v>46</v>
      </c>
      <c r="D506" t="s">
        <v>31</v>
      </c>
      <c r="E506" t="s">
        <v>181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  <c r="R506" s="3">
        <f t="shared" si="28"/>
        <v>88.45</v>
      </c>
      <c r="S506" t="str">
        <f t="shared" si="29"/>
        <v>February</v>
      </c>
      <c r="T506">
        <f t="shared" si="30"/>
        <v>2</v>
      </c>
      <c r="U506" t="str">
        <f t="shared" si="31"/>
        <v>Monday</v>
      </c>
    </row>
    <row r="507" spans="1:21" x14ac:dyDescent="0.2">
      <c r="A507" t="s">
        <v>545</v>
      </c>
      <c r="B507" t="s">
        <v>22</v>
      </c>
      <c r="C507" t="s">
        <v>23</v>
      </c>
      <c r="D507" t="s">
        <v>24</v>
      </c>
      <c r="E507" t="s">
        <v>181</v>
      </c>
      <c r="F507" t="s">
        <v>32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27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3">
        <f t="shared" si="28"/>
        <v>193.44</v>
      </c>
      <c r="S507" t="str">
        <f t="shared" si="29"/>
        <v>January</v>
      </c>
      <c r="T507">
        <f t="shared" si="30"/>
        <v>1</v>
      </c>
      <c r="U507" t="str">
        <f t="shared" si="31"/>
        <v>Monday</v>
      </c>
    </row>
    <row r="508" spans="1:21" x14ac:dyDescent="0.2">
      <c r="A508" t="s">
        <v>546</v>
      </c>
      <c r="B508" t="s">
        <v>45</v>
      </c>
      <c r="C508" t="s">
        <v>46</v>
      </c>
      <c r="D508" t="s">
        <v>24</v>
      </c>
      <c r="E508" t="s">
        <v>25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33</v>
      </c>
      <c r="N508">
        <v>145.5</v>
      </c>
      <c r="O508">
        <v>4.7619047620000003</v>
      </c>
      <c r="P508">
        <v>7.2750000000000004</v>
      </c>
      <c r="Q508">
        <v>6.7</v>
      </c>
      <c r="R508" s="3">
        <f t="shared" si="28"/>
        <v>145.5</v>
      </c>
      <c r="S508" t="str">
        <f t="shared" si="29"/>
        <v>August</v>
      </c>
      <c r="T508">
        <f t="shared" si="30"/>
        <v>8</v>
      </c>
      <c r="U508" t="str">
        <f t="shared" si="31"/>
        <v>Thursday</v>
      </c>
    </row>
    <row r="509" spans="1:21" x14ac:dyDescent="0.2">
      <c r="A509" t="s">
        <v>547</v>
      </c>
      <c r="B509" t="s">
        <v>45</v>
      </c>
      <c r="C509" t="s">
        <v>46</v>
      </c>
      <c r="D509" t="s">
        <v>31</v>
      </c>
      <c r="E509" t="s">
        <v>25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  <c r="R509" s="3">
        <f t="shared" si="28"/>
        <v>504.29999999999995</v>
      </c>
      <c r="S509" t="str">
        <f t="shared" si="29"/>
        <v>January</v>
      </c>
      <c r="T509">
        <f t="shared" si="30"/>
        <v>1</v>
      </c>
      <c r="U509" t="str">
        <f t="shared" si="31"/>
        <v>Tuesday</v>
      </c>
    </row>
    <row r="510" spans="1:21" x14ac:dyDescent="0.2">
      <c r="A510" t="s">
        <v>548</v>
      </c>
      <c r="B510" t="s">
        <v>45</v>
      </c>
      <c r="C510" t="s">
        <v>46</v>
      </c>
      <c r="D510" t="s">
        <v>24</v>
      </c>
      <c r="E510" t="s">
        <v>181</v>
      </c>
      <c r="F510" t="s">
        <v>26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33</v>
      </c>
      <c r="N510">
        <v>306.45</v>
      </c>
      <c r="O510">
        <v>4.7619047620000003</v>
      </c>
      <c r="P510">
        <v>15.3225</v>
      </c>
      <c r="Q510">
        <v>7</v>
      </c>
      <c r="R510" s="3">
        <f t="shared" si="28"/>
        <v>306.45</v>
      </c>
      <c r="S510" t="str">
        <f t="shared" si="29"/>
        <v>March</v>
      </c>
      <c r="T510">
        <f t="shared" si="30"/>
        <v>3</v>
      </c>
      <c r="U510" t="str">
        <f t="shared" si="31"/>
        <v>Friday</v>
      </c>
    </row>
    <row r="511" spans="1:21" x14ac:dyDescent="0.2">
      <c r="A511" t="s">
        <v>549</v>
      </c>
      <c r="B511" t="s">
        <v>29</v>
      </c>
      <c r="C511" t="s">
        <v>30</v>
      </c>
      <c r="D511" t="s">
        <v>24</v>
      </c>
      <c r="E511" t="s">
        <v>25</v>
      </c>
      <c r="F511" t="s">
        <v>35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  <c r="R511" s="3">
        <f t="shared" si="28"/>
        <v>95.699999999999989</v>
      </c>
      <c r="S511" t="str">
        <f t="shared" si="29"/>
        <v>September</v>
      </c>
      <c r="T511">
        <f t="shared" si="30"/>
        <v>9</v>
      </c>
      <c r="U511" t="str">
        <f t="shared" si="31"/>
        <v>Monday</v>
      </c>
    </row>
    <row r="512" spans="1:21" x14ac:dyDescent="0.2">
      <c r="A512" t="s">
        <v>550</v>
      </c>
      <c r="B512" t="s">
        <v>45</v>
      </c>
      <c r="C512" t="s">
        <v>46</v>
      </c>
      <c r="D512" t="s">
        <v>24</v>
      </c>
      <c r="E512" t="s">
        <v>25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  <c r="R512" s="3">
        <f t="shared" si="28"/>
        <v>635.17999999999995</v>
      </c>
      <c r="S512" t="str">
        <f t="shared" si="29"/>
        <v>January</v>
      </c>
      <c r="T512">
        <f t="shared" si="30"/>
        <v>1</v>
      </c>
      <c r="U512" t="str">
        <f t="shared" si="31"/>
        <v>Wednesday</v>
      </c>
    </row>
    <row r="513" spans="1:21" x14ac:dyDescent="0.2">
      <c r="A513" t="s">
        <v>551</v>
      </c>
      <c r="B513" t="s">
        <v>22</v>
      </c>
      <c r="C513" t="s">
        <v>23</v>
      </c>
      <c r="D513" t="s">
        <v>31</v>
      </c>
      <c r="E513" t="s">
        <v>25</v>
      </c>
      <c r="F513" t="s">
        <v>35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27</v>
      </c>
      <c r="N513">
        <v>214.55</v>
      </c>
      <c r="O513">
        <v>4.7619047620000003</v>
      </c>
      <c r="P513">
        <v>10.727499999999999</v>
      </c>
      <c r="Q513">
        <v>6.1</v>
      </c>
      <c r="R513" s="3">
        <f t="shared" si="28"/>
        <v>214.54999999999998</v>
      </c>
      <c r="S513" t="str">
        <f t="shared" si="29"/>
        <v>May</v>
      </c>
      <c r="T513">
        <f t="shared" si="30"/>
        <v>5</v>
      </c>
      <c r="U513" t="str">
        <f t="shared" si="31"/>
        <v>Wednesday</v>
      </c>
    </row>
    <row r="514" spans="1:21" x14ac:dyDescent="0.2">
      <c r="A514" t="s">
        <v>552</v>
      </c>
      <c r="B514" t="s">
        <v>22</v>
      </c>
      <c r="C514" t="s">
        <v>23</v>
      </c>
      <c r="D514" t="s">
        <v>31</v>
      </c>
      <c r="E514" t="s">
        <v>25</v>
      </c>
      <c r="F514" t="s">
        <v>49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27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3">
        <f t="shared" si="28"/>
        <v>379.96000000000004</v>
      </c>
      <c r="S514" t="str">
        <f t="shared" si="29"/>
        <v>January</v>
      </c>
      <c r="T514">
        <f t="shared" si="30"/>
        <v>1</v>
      </c>
      <c r="U514" t="str">
        <f t="shared" si="31"/>
        <v>Sunday</v>
      </c>
    </row>
    <row r="515" spans="1:21" x14ac:dyDescent="0.2">
      <c r="A515" t="s">
        <v>553</v>
      </c>
      <c r="B515" t="s">
        <v>22</v>
      </c>
      <c r="C515" t="s">
        <v>23</v>
      </c>
      <c r="D515" t="s">
        <v>31</v>
      </c>
      <c r="E515" t="s">
        <v>181</v>
      </c>
      <c r="F515" t="s">
        <v>32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33</v>
      </c>
      <c r="N515">
        <v>696.85</v>
      </c>
      <c r="O515">
        <v>4.7619047620000003</v>
      </c>
      <c r="P515">
        <v>34.842500000000001</v>
      </c>
      <c r="Q515">
        <v>7.6</v>
      </c>
      <c r="R515" s="3">
        <f t="shared" ref="R515:R578" si="32">H515*G515</f>
        <v>696.85</v>
      </c>
      <c r="S515" t="str">
        <f t="shared" ref="S515:S578" si="33">TEXT(K515,"mmmm")</f>
        <v>March</v>
      </c>
      <c r="T515">
        <f t="shared" ref="T515:T578" si="34">MONTH(K515)</f>
        <v>3</v>
      </c>
      <c r="U515" t="str">
        <f t="shared" ref="U515:U578" si="35">TEXT(K515,"dddd")</f>
        <v>Thursday</v>
      </c>
    </row>
    <row r="516" spans="1:21" x14ac:dyDescent="0.2">
      <c r="A516" t="s">
        <v>554</v>
      </c>
      <c r="B516" t="s">
        <v>29</v>
      </c>
      <c r="C516" t="s">
        <v>30</v>
      </c>
      <c r="D516" t="s">
        <v>24</v>
      </c>
      <c r="E516" t="s">
        <v>181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3">
        <f t="shared" si="32"/>
        <v>408.73</v>
      </c>
      <c r="S516" t="str">
        <f t="shared" si="33"/>
        <v>February</v>
      </c>
      <c r="T516">
        <f t="shared" si="34"/>
        <v>2</v>
      </c>
      <c r="U516" t="str">
        <f t="shared" si="35"/>
        <v>Saturday</v>
      </c>
    </row>
    <row r="517" spans="1:21" x14ac:dyDescent="0.2">
      <c r="A517" t="s">
        <v>555</v>
      </c>
      <c r="B517" t="s">
        <v>29</v>
      </c>
      <c r="C517" t="s">
        <v>30</v>
      </c>
      <c r="D517" t="s">
        <v>24</v>
      </c>
      <c r="E517" t="s">
        <v>25</v>
      </c>
      <c r="F517" t="s">
        <v>49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27</v>
      </c>
      <c r="N517">
        <v>51.47</v>
      </c>
      <c r="O517">
        <v>4.7619047620000003</v>
      </c>
      <c r="P517">
        <v>2.5735000000000001</v>
      </c>
      <c r="Q517">
        <v>8.5</v>
      </c>
      <c r="R517" s="3">
        <f t="shared" si="32"/>
        <v>51.47</v>
      </c>
      <c r="S517" t="str">
        <f t="shared" si="33"/>
        <v>March</v>
      </c>
      <c r="T517">
        <f t="shared" si="34"/>
        <v>3</v>
      </c>
      <c r="U517" t="str">
        <f t="shared" si="35"/>
        <v>Monday</v>
      </c>
    </row>
    <row r="518" spans="1:21" x14ac:dyDescent="0.2">
      <c r="A518" t="s">
        <v>556</v>
      </c>
      <c r="B518" t="s">
        <v>45</v>
      </c>
      <c r="C518" t="s">
        <v>46</v>
      </c>
      <c r="D518" t="s">
        <v>24</v>
      </c>
      <c r="E518" t="s">
        <v>181</v>
      </c>
      <c r="F518" t="s">
        <v>26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27</v>
      </c>
      <c r="N518">
        <v>274.3</v>
      </c>
      <c r="O518">
        <v>4.7619047620000003</v>
      </c>
      <c r="P518">
        <v>13.715</v>
      </c>
      <c r="Q518">
        <v>9.8000000000000007</v>
      </c>
      <c r="R518" s="3">
        <f t="shared" si="32"/>
        <v>274.3</v>
      </c>
      <c r="S518" t="str">
        <f t="shared" si="33"/>
        <v>March</v>
      </c>
      <c r="T518">
        <f t="shared" si="34"/>
        <v>3</v>
      </c>
      <c r="U518" t="str">
        <f t="shared" si="35"/>
        <v>Friday</v>
      </c>
    </row>
    <row r="519" spans="1:21" x14ac:dyDescent="0.2">
      <c r="A519" t="s">
        <v>557</v>
      </c>
      <c r="B519" t="s">
        <v>29</v>
      </c>
      <c r="C519" t="s">
        <v>30</v>
      </c>
      <c r="D519" t="s">
        <v>24</v>
      </c>
      <c r="E519" t="s">
        <v>181</v>
      </c>
      <c r="F519" t="s">
        <v>35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3">
        <f t="shared" si="32"/>
        <v>196.95</v>
      </c>
      <c r="S519" t="str">
        <f t="shared" si="33"/>
        <v>January</v>
      </c>
      <c r="T519">
        <f t="shared" si="34"/>
        <v>1</v>
      </c>
      <c r="U519" t="str">
        <f t="shared" si="35"/>
        <v>Tuesday</v>
      </c>
    </row>
    <row r="520" spans="1:21" x14ac:dyDescent="0.2">
      <c r="A520" t="s">
        <v>558</v>
      </c>
      <c r="B520" t="s">
        <v>22</v>
      </c>
      <c r="C520" t="s">
        <v>23</v>
      </c>
      <c r="D520" t="s">
        <v>31</v>
      </c>
      <c r="E520" t="s">
        <v>181</v>
      </c>
      <c r="F520" t="s">
        <v>35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27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3">
        <f t="shared" si="32"/>
        <v>69.459999999999994</v>
      </c>
      <c r="S520" t="str">
        <f t="shared" si="33"/>
        <v>January</v>
      </c>
      <c r="T520">
        <f t="shared" si="34"/>
        <v>1</v>
      </c>
      <c r="U520" t="str">
        <f t="shared" si="35"/>
        <v>Thursday</v>
      </c>
    </row>
    <row r="521" spans="1:21" x14ac:dyDescent="0.2">
      <c r="A521" t="s">
        <v>559</v>
      </c>
      <c r="B521" t="s">
        <v>29</v>
      </c>
      <c r="C521" t="s">
        <v>30</v>
      </c>
      <c r="D521" t="s">
        <v>24</v>
      </c>
      <c r="E521" t="s">
        <v>181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  <c r="R521" s="3">
        <f t="shared" si="32"/>
        <v>359.6</v>
      </c>
      <c r="S521" t="str">
        <f t="shared" si="33"/>
        <v>January</v>
      </c>
      <c r="T521">
        <f t="shared" si="34"/>
        <v>1</v>
      </c>
      <c r="U521" t="str">
        <f t="shared" si="35"/>
        <v>Thursday</v>
      </c>
    </row>
    <row r="522" spans="1:21" x14ac:dyDescent="0.2">
      <c r="A522" t="s">
        <v>560</v>
      </c>
      <c r="B522" t="s">
        <v>45</v>
      </c>
      <c r="C522" t="s">
        <v>46</v>
      </c>
      <c r="D522" t="s">
        <v>31</v>
      </c>
      <c r="E522" t="s">
        <v>25</v>
      </c>
      <c r="F522" t="s">
        <v>32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  <c r="R522" s="3">
        <f t="shared" si="32"/>
        <v>137.13</v>
      </c>
      <c r="S522" t="str">
        <f t="shared" si="33"/>
        <v>March</v>
      </c>
      <c r="T522">
        <f t="shared" si="34"/>
        <v>3</v>
      </c>
      <c r="U522" t="str">
        <f t="shared" si="35"/>
        <v>Tuesday</v>
      </c>
    </row>
    <row r="523" spans="1:21" x14ac:dyDescent="0.2">
      <c r="A523" t="s">
        <v>561</v>
      </c>
      <c r="B523" t="s">
        <v>29</v>
      </c>
      <c r="C523" t="s">
        <v>30</v>
      </c>
      <c r="D523" t="s">
        <v>24</v>
      </c>
      <c r="E523" t="s">
        <v>25</v>
      </c>
      <c r="F523" t="s">
        <v>35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33</v>
      </c>
      <c r="N523">
        <v>499.02</v>
      </c>
      <c r="O523">
        <v>4.7619047620000003</v>
      </c>
      <c r="P523">
        <v>24.951000000000001</v>
      </c>
      <c r="Q523">
        <v>7.3</v>
      </c>
      <c r="R523" s="3">
        <f t="shared" si="32"/>
        <v>499.02</v>
      </c>
      <c r="S523" t="str">
        <f t="shared" si="33"/>
        <v>March</v>
      </c>
      <c r="T523">
        <f t="shared" si="34"/>
        <v>3</v>
      </c>
      <c r="U523" t="str">
        <f t="shared" si="35"/>
        <v>Wednesday</v>
      </c>
    </row>
    <row r="524" spans="1:21" x14ac:dyDescent="0.2">
      <c r="A524" t="s">
        <v>562</v>
      </c>
      <c r="B524" t="s">
        <v>22</v>
      </c>
      <c r="C524" t="s">
        <v>23</v>
      </c>
      <c r="D524" t="s">
        <v>24</v>
      </c>
      <c r="E524" t="s">
        <v>25</v>
      </c>
      <c r="F524" t="s">
        <v>35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  <c r="R524" s="3">
        <f t="shared" si="32"/>
        <v>224.64</v>
      </c>
      <c r="S524" t="str">
        <f t="shared" si="33"/>
        <v>June</v>
      </c>
      <c r="T524">
        <f t="shared" si="34"/>
        <v>6</v>
      </c>
      <c r="U524" t="str">
        <f t="shared" si="35"/>
        <v>Sunday</v>
      </c>
    </row>
    <row r="525" spans="1:21" x14ac:dyDescent="0.2">
      <c r="A525" t="s">
        <v>563</v>
      </c>
      <c r="B525" t="s">
        <v>29</v>
      </c>
      <c r="C525" t="s">
        <v>30</v>
      </c>
      <c r="D525" t="s">
        <v>31</v>
      </c>
      <c r="E525" t="s">
        <v>181</v>
      </c>
      <c r="F525" t="s">
        <v>26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33</v>
      </c>
      <c r="N525">
        <v>125.74</v>
      </c>
      <c r="O525">
        <v>4.7619047620000003</v>
      </c>
      <c r="P525">
        <v>6.2869999999999999</v>
      </c>
      <c r="Q525">
        <v>5</v>
      </c>
      <c r="R525" s="3">
        <f t="shared" si="32"/>
        <v>125.74</v>
      </c>
      <c r="S525" t="str">
        <f t="shared" si="33"/>
        <v>January</v>
      </c>
      <c r="T525">
        <f t="shared" si="34"/>
        <v>1</v>
      </c>
      <c r="U525" t="str">
        <f t="shared" si="35"/>
        <v>Tuesday</v>
      </c>
    </row>
    <row r="526" spans="1:21" x14ac:dyDescent="0.2">
      <c r="A526" t="s">
        <v>564</v>
      </c>
      <c r="B526" t="s">
        <v>22</v>
      </c>
      <c r="C526" t="s">
        <v>23</v>
      </c>
      <c r="D526" t="s">
        <v>31</v>
      </c>
      <c r="E526" t="s">
        <v>181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  <c r="R526" s="3">
        <f t="shared" si="32"/>
        <v>490.26</v>
      </c>
      <c r="S526" t="str">
        <f t="shared" si="33"/>
        <v>January</v>
      </c>
      <c r="T526">
        <f t="shared" si="34"/>
        <v>1</v>
      </c>
      <c r="U526" t="str">
        <f t="shared" si="35"/>
        <v>Sunday</v>
      </c>
    </row>
    <row r="527" spans="1:21" x14ac:dyDescent="0.2">
      <c r="A527" t="s">
        <v>565</v>
      </c>
      <c r="B527" t="s">
        <v>22</v>
      </c>
      <c r="C527" t="s">
        <v>23</v>
      </c>
      <c r="D527" t="s">
        <v>24</v>
      </c>
      <c r="E527" t="s">
        <v>25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27</v>
      </c>
      <c r="N527">
        <v>457.05</v>
      </c>
      <c r="O527">
        <v>4.7619047620000003</v>
      </c>
      <c r="P527">
        <v>22.852499999999999</v>
      </c>
      <c r="Q527">
        <v>7.1</v>
      </c>
      <c r="R527" s="3">
        <f t="shared" si="32"/>
        <v>457.04999999999995</v>
      </c>
      <c r="S527" t="str">
        <f t="shared" si="33"/>
        <v>February</v>
      </c>
      <c r="T527">
        <f t="shared" si="34"/>
        <v>2</v>
      </c>
      <c r="U527" t="str">
        <f t="shared" si="35"/>
        <v>Monday</v>
      </c>
    </row>
    <row r="528" spans="1:21" x14ac:dyDescent="0.2">
      <c r="A528" t="s">
        <v>566</v>
      </c>
      <c r="B528" t="s">
        <v>45</v>
      </c>
      <c r="C528" t="s">
        <v>46</v>
      </c>
      <c r="D528" t="s">
        <v>31</v>
      </c>
      <c r="E528" t="s">
        <v>181</v>
      </c>
      <c r="F528" t="s">
        <v>49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  <c r="R528" s="3">
        <f t="shared" si="32"/>
        <v>156.84</v>
      </c>
      <c r="S528" t="str">
        <f t="shared" si="33"/>
        <v>January</v>
      </c>
      <c r="T528">
        <f t="shared" si="34"/>
        <v>1</v>
      </c>
      <c r="U528" t="str">
        <f t="shared" si="35"/>
        <v>Wednesday</v>
      </c>
    </row>
    <row r="529" spans="1:21" x14ac:dyDescent="0.2">
      <c r="A529" t="s">
        <v>567</v>
      </c>
      <c r="B529" t="s">
        <v>45</v>
      </c>
      <c r="C529" t="s">
        <v>46</v>
      </c>
      <c r="D529" t="s">
        <v>24</v>
      </c>
      <c r="E529" t="s">
        <v>181</v>
      </c>
      <c r="F529" t="s">
        <v>49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27</v>
      </c>
      <c r="N529">
        <v>119.72</v>
      </c>
      <c r="O529">
        <v>4.7619047620000003</v>
      </c>
      <c r="P529">
        <v>5.9859999999999998</v>
      </c>
      <c r="Q529">
        <v>6.7</v>
      </c>
      <c r="R529" s="3">
        <f t="shared" si="32"/>
        <v>119.72</v>
      </c>
      <c r="S529" t="str">
        <f t="shared" si="33"/>
        <v>January</v>
      </c>
      <c r="T529">
        <f t="shared" si="34"/>
        <v>1</v>
      </c>
      <c r="U529" t="str">
        <f t="shared" si="35"/>
        <v>Sunday</v>
      </c>
    </row>
    <row r="530" spans="1:21" x14ac:dyDescent="0.2">
      <c r="A530" t="s">
        <v>568</v>
      </c>
      <c r="B530" t="s">
        <v>45</v>
      </c>
      <c r="C530" t="s">
        <v>46</v>
      </c>
      <c r="D530" t="s">
        <v>24</v>
      </c>
      <c r="E530" t="s">
        <v>25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  <c r="R530" s="3">
        <f t="shared" si="32"/>
        <v>543.6</v>
      </c>
      <c r="S530" t="str">
        <f t="shared" si="33"/>
        <v>July</v>
      </c>
      <c r="T530">
        <f t="shared" si="34"/>
        <v>7</v>
      </c>
      <c r="U530" t="str">
        <f t="shared" si="35"/>
        <v>Tuesday</v>
      </c>
    </row>
    <row r="531" spans="1:21" x14ac:dyDescent="0.2">
      <c r="A531" t="s">
        <v>569</v>
      </c>
      <c r="B531" t="s">
        <v>22</v>
      </c>
      <c r="C531" t="s">
        <v>23</v>
      </c>
      <c r="D531" t="s">
        <v>31</v>
      </c>
      <c r="E531" t="s">
        <v>181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33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3">
        <f t="shared" si="32"/>
        <v>882.81000000000006</v>
      </c>
      <c r="S531" t="str">
        <f t="shared" si="33"/>
        <v>February</v>
      </c>
      <c r="T531">
        <f t="shared" si="34"/>
        <v>2</v>
      </c>
      <c r="U531" t="str">
        <f t="shared" si="35"/>
        <v>Sunday</v>
      </c>
    </row>
    <row r="532" spans="1:21" x14ac:dyDescent="0.2">
      <c r="A532" t="s">
        <v>570</v>
      </c>
      <c r="B532" t="s">
        <v>22</v>
      </c>
      <c r="C532" t="s">
        <v>23</v>
      </c>
      <c r="D532" t="s">
        <v>31</v>
      </c>
      <c r="E532" t="s">
        <v>181</v>
      </c>
      <c r="F532" t="s">
        <v>26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27</v>
      </c>
      <c r="N532">
        <v>152.58000000000001</v>
      </c>
      <c r="O532">
        <v>4.7619047620000003</v>
      </c>
      <c r="P532">
        <v>7.6289999999999996</v>
      </c>
      <c r="Q532">
        <v>7</v>
      </c>
      <c r="R532" s="3">
        <f t="shared" si="32"/>
        <v>152.57999999999998</v>
      </c>
      <c r="S532" t="str">
        <f t="shared" si="33"/>
        <v>December</v>
      </c>
      <c r="T532">
        <f t="shared" si="34"/>
        <v>12</v>
      </c>
      <c r="U532" t="str">
        <f t="shared" si="35"/>
        <v>Monday</v>
      </c>
    </row>
    <row r="533" spans="1:21" x14ac:dyDescent="0.2">
      <c r="A533" t="s">
        <v>571</v>
      </c>
      <c r="B533" t="s">
        <v>22</v>
      </c>
      <c r="C533" t="s">
        <v>23</v>
      </c>
      <c r="D533" t="s">
        <v>24</v>
      </c>
      <c r="E533" t="s">
        <v>181</v>
      </c>
      <c r="F533" t="s">
        <v>49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  <c r="R533" s="3">
        <f t="shared" si="32"/>
        <v>693.44</v>
      </c>
      <c r="S533" t="str">
        <f t="shared" si="33"/>
        <v>January</v>
      </c>
      <c r="T533">
        <f t="shared" si="34"/>
        <v>1</v>
      </c>
      <c r="U533" t="str">
        <f t="shared" si="35"/>
        <v>Thursday</v>
      </c>
    </row>
    <row r="534" spans="1:21" x14ac:dyDescent="0.2">
      <c r="A534" t="s">
        <v>572</v>
      </c>
      <c r="B534" t="s">
        <v>45</v>
      </c>
      <c r="C534" t="s">
        <v>46</v>
      </c>
      <c r="D534" t="s">
        <v>31</v>
      </c>
      <c r="E534" t="s">
        <v>181</v>
      </c>
      <c r="F534" t="s">
        <v>32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27</v>
      </c>
      <c r="N534">
        <v>229.5</v>
      </c>
      <c r="O534">
        <v>4.7619047620000003</v>
      </c>
      <c r="P534">
        <v>11.475</v>
      </c>
      <c r="Q534">
        <v>8.1999999999999993</v>
      </c>
      <c r="R534" s="3">
        <f t="shared" si="32"/>
        <v>229.5</v>
      </c>
      <c r="S534" t="str">
        <f t="shared" si="33"/>
        <v>June</v>
      </c>
      <c r="T534">
        <f t="shared" si="34"/>
        <v>6</v>
      </c>
      <c r="U534" t="str">
        <f t="shared" si="35"/>
        <v>Sunday</v>
      </c>
    </row>
    <row r="535" spans="1:21" x14ac:dyDescent="0.2">
      <c r="A535" t="s">
        <v>573</v>
      </c>
      <c r="B535" t="s">
        <v>29</v>
      </c>
      <c r="C535" t="s">
        <v>30</v>
      </c>
      <c r="D535" t="s">
        <v>31</v>
      </c>
      <c r="E535" t="s">
        <v>25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27</v>
      </c>
      <c r="N535">
        <v>146.79</v>
      </c>
      <c r="O535">
        <v>4.7619047620000003</v>
      </c>
      <c r="P535">
        <v>7.3395000000000001</v>
      </c>
      <c r="Q535">
        <v>8.4</v>
      </c>
      <c r="R535" s="3">
        <f t="shared" si="32"/>
        <v>146.79</v>
      </c>
      <c r="S535" t="str">
        <f t="shared" si="33"/>
        <v>March</v>
      </c>
      <c r="T535">
        <f t="shared" si="34"/>
        <v>3</v>
      </c>
      <c r="U535" t="str">
        <f t="shared" si="35"/>
        <v>Tuesday</v>
      </c>
    </row>
    <row r="536" spans="1:21" x14ac:dyDescent="0.2">
      <c r="A536" t="s">
        <v>574</v>
      </c>
      <c r="B536" t="s">
        <v>22</v>
      </c>
      <c r="C536" t="s">
        <v>23</v>
      </c>
      <c r="D536" t="s">
        <v>31</v>
      </c>
      <c r="E536" t="s">
        <v>25</v>
      </c>
      <c r="F536" t="s">
        <v>35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27</v>
      </c>
      <c r="N536">
        <v>141.6</v>
      </c>
      <c r="O536">
        <v>4.7619047620000003</v>
      </c>
      <c r="P536">
        <v>7.08</v>
      </c>
      <c r="Q536">
        <v>6.2</v>
      </c>
      <c r="R536" s="3">
        <f t="shared" si="32"/>
        <v>141.6</v>
      </c>
      <c r="S536" t="str">
        <f t="shared" si="33"/>
        <v>November</v>
      </c>
      <c r="T536">
        <f t="shared" si="34"/>
        <v>11</v>
      </c>
      <c r="U536" t="str">
        <f t="shared" si="35"/>
        <v>Sunday</v>
      </c>
    </row>
    <row r="537" spans="1:21" x14ac:dyDescent="0.2">
      <c r="A537" t="s">
        <v>575</v>
      </c>
      <c r="B537" t="s">
        <v>29</v>
      </c>
      <c r="C537" t="s">
        <v>30</v>
      </c>
      <c r="D537" t="s">
        <v>31</v>
      </c>
      <c r="E537" t="s">
        <v>181</v>
      </c>
      <c r="F537" t="s">
        <v>35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27</v>
      </c>
      <c r="N537">
        <v>116.69</v>
      </c>
      <c r="O537">
        <v>4.7619047620000003</v>
      </c>
      <c r="P537">
        <v>5.8345000000000002</v>
      </c>
      <c r="Q537">
        <v>7.4</v>
      </c>
      <c r="R537" s="3">
        <f t="shared" si="32"/>
        <v>116.69000000000001</v>
      </c>
      <c r="S537" t="str">
        <f t="shared" si="33"/>
        <v>July</v>
      </c>
      <c r="T537">
        <f t="shared" si="34"/>
        <v>7</v>
      </c>
      <c r="U537" t="str">
        <f t="shared" si="35"/>
        <v>Tuesday</v>
      </c>
    </row>
    <row r="538" spans="1:21" x14ac:dyDescent="0.2">
      <c r="A538" t="s">
        <v>576</v>
      </c>
      <c r="B538" t="s">
        <v>45</v>
      </c>
      <c r="C538" t="s">
        <v>46</v>
      </c>
      <c r="D538" t="s">
        <v>24</v>
      </c>
      <c r="E538" t="s">
        <v>25</v>
      </c>
      <c r="F538" t="s">
        <v>49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  <c r="R538" s="3">
        <f t="shared" si="32"/>
        <v>73.959999999999994</v>
      </c>
      <c r="S538" t="str">
        <f t="shared" si="33"/>
        <v>May</v>
      </c>
      <c r="T538">
        <f t="shared" si="34"/>
        <v>5</v>
      </c>
      <c r="U538" t="str">
        <f t="shared" si="35"/>
        <v>Wednesday</v>
      </c>
    </row>
    <row r="539" spans="1:21" x14ac:dyDescent="0.2">
      <c r="A539" t="s">
        <v>577</v>
      </c>
      <c r="B539" t="s">
        <v>22</v>
      </c>
      <c r="C539" t="s">
        <v>23</v>
      </c>
      <c r="D539" t="s">
        <v>31</v>
      </c>
      <c r="E539" t="s">
        <v>181</v>
      </c>
      <c r="F539" t="s">
        <v>35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27</v>
      </c>
      <c r="N539">
        <v>97.94</v>
      </c>
      <c r="O539">
        <v>4.7619047620000003</v>
      </c>
      <c r="P539">
        <v>4.8970000000000002</v>
      </c>
      <c r="Q539">
        <v>6.9</v>
      </c>
      <c r="R539" s="3">
        <f t="shared" si="32"/>
        <v>97.94</v>
      </c>
      <c r="S539" t="str">
        <f t="shared" si="33"/>
        <v>July</v>
      </c>
      <c r="T539">
        <f t="shared" si="34"/>
        <v>7</v>
      </c>
      <c r="U539" t="str">
        <f t="shared" si="35"/>
        <v>Wednesday</v>
      </c>
    </row>
    <row r="540" spans="1:21" x14ac:dyDescent="0.2">
      <c r="A540" t="s">
        <v>578</v>
      </c>
      <c r="B540" t="s">
        <v>22</v>
      </c>
      <c r="C540" t="s">
        <v>23</v>
      </c>
      <c r="D540" t="s">
        <v>31</v>
      </c>
      <c r="E540" t="s">
        <v>25</v>
      </c>
      <c r="F540" t="s">
        <v>49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  <c r="R540" s="3">
        <f t="shared" si="32"/>
        <v>292.2</v>
      </c>
      <c r="S540" t="str">
        <f t="shared" si="33"/>
        <v>February</v>
      </c>
      <c r="T540">
        <f t="shared" si="34"/>
        <v>2</v>
      </c>
      <c r="U540" t="str">
        <f t="shared" si="35"/>
        <v>Monday</v>
      </c>
    </row>
    <row r="541" spans="1:21" x14ac:dyDescent="0.2">
      <c r="A541" t="s">
        <v>579</v>
      </c>
      <c r="B541" t="s">
        <v>29</v>
      </c>
      <c r="C541" t="s">
        <v>30</v>
      </c>
      <c r="D541" t="s">
        <v>24</v>
      </c>
      <c r="E541" t="s">
        <v>25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27</v>
      </c>
      <c r="N541">
        <v>524.88</v>
      </c>
      <c r="O541">
        <v>4.7619047620000003</v>
      </c>
      <c r="P541">
        <v>26.244</v>
      </c>
      <c r="Q541">
        <v>5.0999999999999996</v>
      </c>
      <c r="R541" s="3">
        <f t="shared" si="32"/>
        <v>524.88</v>
      </c>
      <c r="S541" t="str">
        <f t="shared" si="33"/>
        <v>January</v>
      </c>
      <c r="T541">
        <f t="shared" si="34"/>
        <v>1</v>
      </c>
      <c r="U541" t="str">
        <f t="shared" si="35"/>
        <v>Wednesday</v>
      </c>
    </row>
    <row r="542" spans="1:21" x14ac:dyDescent="0.2">
      <c r="A542" t="s">
        <v>580</v>
      </c>
      <c r="B542" t="s">
        <v>22</v>
      </c>
      <c r="C542" t="s">
        <v>23</v>
      </c>
      <c r="D542" t="s">
        <v>31</v>
      </c>
      <c r="E542" t="s">
        <v>181</v>
      </c>
      <c r="F542" t="s">
        <v>35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27</v>
      </c>
      <c r="N542">
        <v>92.04</v>
      </c>
      <c r="O542">
        <v>4.7619047620000003</v>
      </c>
      <c r="P542">
        <v>4.6020000000000003</v>
      </c>
      <c r="Q542">
        <v>9.1</v>
      </c>
      <c r="R542" s="3">
        <f t="shared" si="32"/>
        <v>92.039999999999992</v>
      </c>
      <c r="S542" t="str">
        <f t="shared" si="33"/>
        <v>January</v>
      </c>
      <c r="T542">
        <f t="shared" si="34"/>
        <v>1</v>
      </c>
      <c r="U542" t="str">
        <f t="shared" si="35"/>
        <v>Tuesday</v>
      </c>
    </row>
    <row r="543" spans="1:21" x14ac:dyDescent="0.2">
      <c r="A543" t="s">
        <v>581</v>
      </c>
      <c r="B543" t="s">
        <v>29</v>
      </c>
      <c r="C543" t="s">
        <v>30</v>
      </c>
      <c r="D543" t="s">
        <v>24</v>
      </c>
      <c r="E543" t="s">
        <v>181</v>
      </c>
      <c r="F543" t="s">
        <v>26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  <c r="R543" s="3">
        <f t="shared" si="32"/>
        <v>75.88</v>
      </c>
      <c r="S543" t="str">
        <f t="shared" si="33"/>
        <v>March</v>
      </c>
      <c r="T543">
        <f t="shared" si="34"/>
        <v>3</v>
      </c>
      <c r="U543" t="str">
        <f t="shared" si="35"/>
        <v>Friday</v>
      </c>
    </row>
    <row r="544" spans="1:21" x14ac:dyDescent="0.2">
      <c r="A544" t="s">
        <v>582</v>
      </c>
      <c r="B544" t="s">
        <v>45</v>
      </c>
      <c r="C544" t="s">
        <v>46</v>
      </c>
      <c r="D544" t="s">
        <v>24</v>
      </c>
      <c r="E544" t="s">
        <v>25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  <c r="R544" s="3">
        <f t="shared" si="32"/>
        <v>80.72</v>
      </c>
      <c r="S544" t="str">
        <f t="shared" si="33"/>
        <v>February</v>
      </c>
      <c r="T544">
        <f t="shared" si="34"/>
        <v>2</v>
      </c>
      <c r="U544" t="str">
        <f t="shared" si="35"/>
        <v>Wednesday</v>
      </c>
    </row>
    <row r="545" spans="1:21" x14ac:dyDescent="0.2">
      <c r="A545" t="s">
        <v>583</v>
      </c>
      <c r="B545" t="s">
        <v>29</v>
      </c>
      <c r="C545" t="s">
        <v>30</v>
      </c>
      <c r="D545" t="s">
        <v>24</v>
      </c>
      <c r="E545" t="s">
        <v>181</v>
      </c>
      <c r="F545" t="s">
        <v>32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  <c r="R545" s="3">
        <f t="shared" si="32"/>
        <v>112.62</v>
      </c>
      <c r="S545" t="str">
        <f t="shared" si="33"/>
        <v>January</v>
      </c>
      <c r="T545">
        <f t="shared" si="34"/>
        <v>1</v>
      </c>
      <c r="U545" t="str">
        <f t="shared" si="35"/>
        <v>Monday</v>
      </c>
    </row>
    <row r="546" spans="1:21" x14ac:dyDescent="0.2">
      <c r="A546" t="s">
        <v>584</v>
      </c>
      <c r="B546" t="s">
        <v>45</v>
      </c>
      <c r="C546" t="s">
        <v>46</v>
      </c>
      <c r="D546" t="s">
        <v>31</v>
      </c>
      <c r="E546" t="s">
        <v>25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  <c r="R546" s="3">
        <f t="shared" si="32"/>
        <v>71.2</v>
      </c>
      <c r="S546" t="str">
        <f t="shared" si="33"/>
        <v>May</v>
      </c>
      <c r="T546">
        <f t="shared" si="34"/>
        <v>5</v>
      </c>
      <c r="U546" t="str">
        <f t="shared" si="35"/>
        <v>Wednesday</v>
      </c>
    </row>
    <row r="547" spans="1:21" x14ac:dyDescent="0.2">
      <c r="A547" t="s">
        <v>585</v>
      </c>
      <c r="B547" t="s">
        <v>45</v>
      </c>
      <c r="C547" t="s">
        <v>46</v>
      </c>
      <c r="D547" t="s">
        <v>24</v>
      </c>
      <c r="E547" t="s">
        <v>181</v>
      </c>
      <c r="F547" t="s">
        <v>35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27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3">
        <f t="shared" si="32"/>
        <v>155.24</v>
      </c>
      <c r="S547" t="str">
        <f t="shared" si="33"/>
        <v>March</v>
      </c>
      <c r="T547">
        <f t="shared" si="34"/>
        <v>3</v>
      </c>
      <c r="U547" t="str">
        <f t="shared" si="35"/>
        <v>Tuesday</v>
      </c>
    </row>
    <row r="548" spans="1:21" x14ac:dyDescent="0.2">
      <c r="A548" t="s">
        <v>586</v>
      </c>
      <c r="B548" t="s">
        <v>22</v>
      </c>
      <c r="C548" t="s">
        <v>23</v>
      </c>
      <c r="D548" t="s">
        <v>31</v>
      </c>
      <c r="E548" t="s">
        <v>25</v>
      </c>
      <c r="F548" t="s">
        <v>49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27</v>
      </c>
      <c r="N548">
        <v>294.2</v>
      </c>
      <c r="O548">
        <v>4.7619047620000003</v>
      </c>
      <c r="P548">
        <v>14.71</v>
      </c>
      <c r="Q548">
        <v>8.9</v>
      </c>
      <c r="R548" s="3">
        <f t="shared" si="32"/>
        <v>294.20000000000005</v>
      </c>
      <c r="S548" t="str">
        <f t="shared" si="33"/>
        <v>December</v>
      </c>
      <c r="T548">
        <f t="shared" si="34"/>
        <v>12</v>
      </c>
      <c r="U548" t="str">
        <f t="shared" si="35"/>
        <v>Sunday</v>
      </c>
    </row>
    <row r="549" spans="1:21" x14ac:dyDescent="0.2">
      <c r="A549" t="s">
        <v>587</v>
      </c>
      <c r="B549" t="s">
        <v>22</v>
      </c>
      <c r="C549" t="s">
        <v>23</v>
      </c>
      <c r="D549" t="s">
        <v>31</v>
      </c>
      <c r="E549" t="s">
        <v>181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  <c r="R549" s="3">
        <f t="shared" si="32"/>
        <v>548.55000000000007</v>
      </c>
      <c r="S549" t="str">
        <f t="shared" si="33"/>
        <v>July</v>
      </c>
      <c r="T549">
        <f t="shared" si="34"/>
        <v>7</v>
      </c>
      <c r="U549" t="str">
        <f t="shared" si="35"/>
        <v>Monday</v>
      </c>
    </row>
    <row r="550" spans="1:21" x14ac:dyDescent="0.2">
      <c r="A550" t="s">
        <v>588</v>
      </c>
      <c r="B550" t="s">
        <v>45</v>
      </c>
      <c r="C550" t="s">
        <v>46</v>
      </c>
      <c r="D550" t="s">
        <v>31</v>
      </c>
      <c r="E550" t="s">
        <v>25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33</v>
      </c>
      <c r="N550">
        <v>257.7</v>
      </c>
      <c r="O550">
        <v>4.7619047620000003</v>
      </c>
      <c r="P550">
        <v>12.885</v>
      </c>
      <c r="Q550">
        <v>4.2</v>
      </c>
      <c r="R550" s="3">
        <f t="shared" si="32"/>
        <v>257.7</v>
      </c>
      <c r="S550" t="str">
        <f t="shared" si="33"/>
        <v>January</v>
      </c>
      <c r="T550">
        <f t="shared" si="34"/>
        <v>1</v>
      </c>
      <c r="U550" t="str">
        <f t="shared" si="35"/>
        <v>Saturday</v>
      </c>
    </row>
    <row r="551" spans="1:21" x14ac:dyDescent="0.2">
      <c r="A551" t="s">
        <v>589</v>
      </c>
      <c r="B551" t="s">
        <v>22</v>
      </c>
      <c r="C551" t="s">
        <v>23</v>
      </c>
      <c r="D551" t="s">
        <v>31</v>
      </c>
      <c r="E551" t="s">
        <v>25</v>
      </c>
      <c r="F551" t="s">
        <v>32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33</v>
      </c>
      <c r="N551">
        <v>396.36</v>
      </c>
      <c r="O551">
        <v>4.7619047620000003</v>
      </c>
      <c r="P551">
        <v>19.818000000000001</v>
      </c>
      <c r="Q551">
        <v>7.3</v>
      </c>
      <c r="R551" s="3">
        <f t="shared" si="32"/>
        <v>396.36</v>
      </c>
      <c r="S551" t="str">
        <f t="shared" si="33"/>
        <v>January</v>
      </c>
      <c r="T551">
        <f t="shared" si="34"/>
        <v>1</v>
      </c>
      <c r="U551" t="str">
        <f t="shared" si="35"/>
        <v>Wednesday</v>
      </c>
    </row>
    <row r="552" spans="1:21" x14ac:dyDescent="0.2">
      <c r="A552" t="s">
        <v>590</v>
      </c>
      <c r="B552" t="s">
        <v>45</v>
      </c>
      <c r="C552" t="s">
        <v>46</v>
      </c>
      <c r="D552" t="s">
        <v>31</v>
      </c>
      <c r="E552" t="s">
        <v>181</v>
      </c>
      <c r="F552" t="s">
        <v>49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27</v>
      </c>
      <c r="N552">
        <v>171.81</v>
      </c>
      <c r="O552">
        <v>4.7619047620000003</v>
      </c>
      <c r="P552">
        <v>8.5905000000000005</v>
      </c>
      <c r="Q552">
        <v>6.5</v>
      </c>
      <c r="R552" s="3">
        <f t="shared" si="32"/>
        <v>171.81</v>
      </c>
      <c r="S552" t="str">
        <f t="shared" si="33"/>
        <v>September</v>
      </c>
      <c r="T552">
        <f t="shared" si="34"/>
        <v>9</v>
      </c>
      <c r="U552" t="str">
        <f t="shared" si="35"/>
        <v>Monday</v>
      </c>
    </row>
    <row r="553" spans="1:21" x14ac:dyDescent="0.2">
      <c r="A553" t="s">
        <v>591</v>
      </c>
      <c r="B553" t="s">
        <v>45</v>
      </c>
      <c r="C553" t="s">
        <v>46</v>
      </c>
      <c r="D553" t="s">
        <v>31</v>
      </c>
      <c r="E553" t="s">
        <v>25</v>
      </c>
      <c r="F553" t="s">
        <v>49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33</v>
      </c>
      <c r="N553">
        <v>488.79</v>
      </c>
      <c r="O553">
        <v>4.7619047620000003</v>
      </c>
      <c r="P553">
        <v>24.439499999999999</v>
      </c>
      <c r="Q553">
        <v>8.9</v>
      </c>
      <c r="R553" s="3">
        <f t="shared" si="32"/>
        <v>488.79</v>
      </c>
      <c r="S553" t="str">
        <f t="shared" si="33"/>
        <v>February</v>
      </c>
      <c r="T553">
        <f t="shared" si="34"/>
        <v>2</v>
      </c>
      <c r="U553" t="str">
        <f t="shared" si="35"/>
        <v>Friday</v>
      </c>
    </row>
    <row r="554" spans="1:21" x14ac:dyDescent="0.2">
      <c r="A554" t="s">
        <v>592</v>
      </c>
      <c r="B554" t="s">
        <v>45</v>
      </c>
      <c r="C554" t="s">
        <v>46</v>
      </c>
      <c r="D554" t="s">
        <v>31</v>
      </c>
      <c r="E554" t="s">
        <v>25</v>
      </c>
      <c r="F554" t="s">
        <v>26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33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3">
        <f t="shared" si="32"/>
        <v>524.16</v>
      </c>
      <c r="S554" t="str">
        <f t="shared" si="33"/>
        <v>May</v>
      </c>
      <c r="T554">
        <f t="shared" si="34"/>
        <v>5</v>
      </c>
      <c r="U554" t="str">
        <f t="shared" si="35"/>
        <v>Thursday</v>
      </c>
    </row>
    <row r="555" spans="1:21" x14ac:dyDescent="0.2">
      <c r="A555" t="s">
        <v>593</v>
      </c>
      <c r="B555" t="s">
        <v>29</v>
      </c>
      <c r="C555" t="s">
        <v>30</v>
      </c>
      <c r="D555" t="s">
        <v>31</v>
      </c>
      <c r="E555" t="s">
        <v>181</v>
      </c>
      <c r="F555" t="s">
        <v>32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  <c r="R555" s="3">
        <f t="shared" si="32"/>
        <v>133.26</v>
      </c>
      <c r="S555" t="str">
        <f t="shared" si="33"/>
        <v>July</v>
      </c>
      <c r="T555">
        <f t="shared" si="34"/>
        <v>7</v>
      </c>
      <c r="U555" t="str">
        <f t="shared" si="35"/>
        <v>Wednesday</v>
      </c>
    </row>
    <row r="556" spans="1:21" x14ac:dyDescent="0.2">
      <c r="A556" t="s">
        <v>594</v>
      </c>
      <c r="B556" t="s">
        <v>22</v>
      </c>
      <c r="C556" t="s">
        <v>23</v>
      </c>
      <c r="D556" t="s">
        <v>24</v>
      </c>
      <c r="E556" t="s">
        <v>181</v>
      </c>
      <c r="F556" t="s">
        <v>32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33</v>
      </c>
      <c r="N556">
        <v>135.24</v>
      </c>
      <c r="O556">
        <v>4.7619047620000003</v>
      </c>
      <c r="P556">
        <v>6.7619999999999996</v>
      </c>
      <c r="Q556">
        <v>6.9</v>
      </c>
      <c r="R556" s="3">
        <f t="shared" si="32"/>
        <v>135.24</v>
      </c>
      <c r="S556" t="str">
        <f t="shared" si="33"/>
        <v>March</v>
      </c>
      <c r="T556">
        <f t="shared" si="34"/>
        <v>3</v>
      </c>
      <c r="U556" t="str">
        <f t="shared" si="35"/>
        <v>Monday</v>
      </c>
    </row>
    <row r="557" spans="1:21" x14ac:dyDescent="0.2">
      <c r="A557" t="s">
        <v>595</v>
      </c>
      <c r="B557" t="s">
        <v>45</v>
      </c>
      <c r="C557" t="s">
        <v>46</v>
      </c>
      <c r="D557" t="s">
        <v>31</v>
      </c>
      <c r="E557" t="s">
        <v>181</v>
      </c>
      <c r="F557" t="s">
        <v>35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  <c r="R557" s="3">
        <f t="shared" si="32"/>
        <v>112.44</v>
      </c>
      <c r="S557" t="str">
        <f t="shared" si="33"/>
        <v>January</v>
      </c>
      <c r="T557">
        <f t="shared" si="34"/>
        <v>1</v>
      </c>
      <c r="U557" t="str">
        <f t="shared" si="35"/>
        <v>Sunday</v>
      </c>
    </row>
    <row r="558" spans="1:21" x14ac:dyDescent="0.2">
      <c r="A558" t="s">
        <v>596</v>
      </c>
      <c r="B558" t="s">
        <v>45</v>
      </c>
      <c r="C558" t="s">
        <v>46</v>
      </c>
      <c r="D558" t="s">
        <v>24</v>
      </c>
      <c r="E558" t="s">
        <v>25</v>
      </c>
      <c r="F558" t="s">
        <v>49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33</v>
      </c>
      <c r="N558">
        <v>144.08000000000001</v>
      </c>
      <c r="O558">
        <v>4.7619047620000003</v>
      </c>
      <c r="P558">
        <v>7.2039999999999997</v>
      </c>
      <c r="Q558">
        <v>9.5</v>
      </c>
      <c r="R558" s="3">
        <f t="shared" si="32"/>
        <v>144.08000000000001</v>
      </c>
      <c r="S558" t="str">
        <f t="shared" si="33"/>
        <v>April</v>
      </c>
      <c r="T558">
        <f t="shared" si="34"/>
        <v>4</v>
      </c>
      <c r="U558" t="str">
        <f t="shared" si="35"/>
        <v>Tuesday</v>
      </c>
    </row>
    <row r="559" spans="1:21" x14ac:dyDescent="0.2">
      <c r="A559" t="s">
        <v>597</v>
      </c>
      <c r="B559" t="s">
        <v>29</v>
      </c>
      <c r="C559" t="s">
        <v>30</v>
      </c>
      <c r="D559" t="s">
        <v>24</v>
      </c>
      <c r="E559" t="s">
        <v>25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27</v>
      </c>
      <c r="N559">
        <v>985.2</v>
      </c>
      <c r="O559">
        <v>4.7619047620000003</v>
      </c>
      <c r="P559">
        <v>49.26</v>
      </c>
      <c r="Q559">
        <v>4.5</v>
      </c>
      <c r="R559" s="3">
        <f t="shared" si="32"/>
        <v>985.19999999999993</v>
      </c>
      <c r="S559" t="str">
        <f t="shared" si="33"/>
        <v>January</v>
      </c>
      <c r="T559">
        <f t="shared" si="34"/>
        <v>1</v>
      </c>
      <c r="U559" t="str">
        <f t="shared" si="35"/>
        <v>Wednesday</v>
      </c>
    </row>
    <row r="560" spans="1:21" x14ac:dyDescent="0.2">
      <c r="A560" t="s">
        <v>598</v>
      </c>
      <c r="B560" t="s">
        <v>22</v>
      </c>
      <c r="C560" t="s">
        <v>23</v>
      </c>
      <c r="D560" t="s">
        <v>24</v>
      </c>
      <c r="E560" t="s">
        <v>181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27</v>
      </c>
      <c r="N560">
        <v>249.96</v>
      </c>
      <c r="O560">
        <v>4.7619047620000003</v>
      </c>
      <c r="P560">
        <v>12.497999999999999</v>
      </c>
      <c r="Q560">
        <v>5.6</v>
      </c>
      <c r="R560" s="3">
        <f t="shared" si="32"/>
        <v>249.95999999999998</v>
      </c>
      <c r="S560" t="str">
        <f t="shared" si="33"/>
        <v>February</v>
      </c>
      <c r="T560">
        <f t="shared" si="34"/>
        <v>2</v>
      </c>
      <c r="U560" t="str">
        <f t="shared" si="35"/>
        <v>Friday</v>
      </c>
    </row>
    <row r="561" spans="1:21" x14ac:dyDescent="0.2">
      <c r="A561" t="s">
        <v>599</v>
      </c>
      <c r="B561" t="s">
        <v>22</v>
      </c>
      <c r="C561" t="s">
        <v>23</v>
      </c>
      <c r="D561" t="s">
        <v>24</v>
      </c>
      <c r="E561" t="s">
        <v>25</v>
      </c>
      <c r="F561" t="s">
        <v>35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27</v>
      </c>
      <c r="N561">
        <v>217.26</v>
      </c>
      <c r="O561">
        <v>4.7619047620000003</v>
      </c>
      <c r="P561">
        <v>10.863</v>
      </c>
      <c r="Q561">
        <v>8.1999999999999993</v>
      </c>
      <c r="R561" s="3">
        <f t="shared" si="32"/>
        <v>217.26</v>
      </c>
      <c r="S561" t="str">
        <f t="shared" si="33"/>
        <v>March</v>
      </c>
      <c r="T561">
        <f t="shared" si="34"/>
        <v>3</v>
      </c>
      <c r="U561" t="str">
        <f t="shared" si="35"/>
        <v>Friday</v>
      </c>
    </row>
    <row r="562" spans="1:21" x14ac:dyDescent="0.2">
      <c r="A562" t="s">
        <v>600</v>
      </c>
      <c r="B562" t="s">
        <v>45</v>
      </c>
      <c r="C562" t="s">
        <v>46</v>
      </c>
      <c r="D562" t="s">
        <v>31</v>
      </c>
      <c r="E562" t="s">
        <v>181</v>
      </c>
      <c r="F562" t="s">
        <v>32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33</v>
      </c>
      <c r="N562">
        <v>194.22</v>
      </c>
      <c r="O562">
        <v>4.7619047620000003</v>
      </c>
      <c r="P562">
        <v>9.7110000000000003</v>
      </c>
      <c r="Q562">
        <v>7.3</v>
      </c>
      <c r="R562" s="3">
        <f t="shared" si="32"/>
        <v>194.21999999999997</v>
      </c>
      <c r="S562" t="str">
        <f t="shared" si="33"/>
        <v>March</v>
      </c>
      <c r="T562">
        <f t="shared" si="34"/>
        <v>3</v>
      </c>
      <c r="U562" t="str">
        <f t="shared" si="35"/>
        <v>Thursday</v>
      </c>
    </row>
    <row r="563" spans="1:21" x14ac:dyDescent="0.2">
      <c r="A563" t="s">
        <v>601</v>
      </c>
      <c r="B563" t="s">
        <v>29</v>
      </c>
      <c r="C563" t="s">
        <v>30</v>
      </c>
      <c r="D563" t="s">
        <v>31</v>
      </c>
      <c r="E563" t="s">
        <v>181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  <c r="R563" s="3">
        <f t="shared" si="32"/>
        <v>892</v>
      </c>
      <c r="S563" t="str">
        <f t="shared" si="33"/>
        <v>November</v>
      </c>
      <c r="T563">
        <f t="shared" si="34"/>
        <v>11</v>
      </c>
      <c r="U563" t="str">
        <f t="shared" si="35"/>
        <v>Saturday</v>
      </c>
    </row>
    <row r="564" spans="1:21" x14ac:dyDescent="0.2">
      <c r="A564" t="s">
        <v>602</v>
      </c>
      <c r="B564" t="s">
        <v>45</v>
      </c>
      <c r="C564" t="s">
        <v>46</v>
      </c>
      <c r="D564" t="s">
        <v>31</v>
      </c>
      <c r="E564" t="s">
        <v>25</v>
      </c>
      <c r="F564" t="s">
        <v>32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27</v>
      </c>
      <c r="N564">
        <v>339.36</v>
      </c>
      <c r="O564">
        <v>4.7619047620000003</v>
      </c>
      <c r="P564">
        <v>16.968</v>
      </c>
      <c r="Q564">
        <v>5.7</v>
      </c>
      <c r="R564" s="3">
        <f t="shared" si="32"/>
        <v>339.36</v>
      </c>
      <c r="S564" t="str">
        <f t="shared" si="33"/>
        <v>January</v>
      </c>
      <c r="T564">
        <f t="shared" si="34"/>
        <v>1</v>
      </c>
      <c r="U564" t="str">
        <f t="shared" si="35"/>
        <v>Wednesday</v>
      </c>
    </row>
    <row r="565" spans="1:21" x14ac:dyDescent="0.2">
      <c r="A565" t="s">
        <v>603</v>
      </c>
      <c r="B565" t="s">
        <v>22</v>
      </c>
      <c r="C565" t="s">
        <v>23</v>
      </c>
      <c r="D565" t="s">
        <v>24</v>
      </c>
      <c r="E565" t="s">
        <v>181</v>
      </c>
      <c r="F565" t="s">
        <v>32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27</v>
      </c>
      <c r="N565">
        <v>447.06</v>
      </c>
      <c r="O565">
        <v>4.7619047620000003</v>
      </c>
      <c r="P565">
        <v>22.353000000000002</v>
      </c>
      <c r="Q565">
        <v>5</v>
      </c>
      <c r="R565" s="3">
        <f t="shared" si="32"/>
        <v>447.06000000000006</v>
      </c>
      <c r="S565" t="str">
        <f t="shared" si="33"/>
        <v>March</v>
      </c>
      <c r="T565">
        <f t="shared" si="34"/>
        <v>3</v>
      </c>
      <c r="U565" t="str">
        <f t="shared" si="35"/>
        <v>Wednesday</v>
      </c>
    </row>
    <row r="566" spans="1:21" x14ac:dyDescent="0.2">
      <c r="A566" t="s">
        <v>604</v>
      </c>
      <c r="B566" t="s">
        <v>45</v>
      </c>
      <c r="C566" t="s">
        <v>46</v>
      </c>
      <c r="D566" t="s">
        <v>31</v>
      </c>
      <c r="E566" t="s">
        <v>181</v>
      </c>
      <c r="F566" t="s">
        <v>49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33</v>
      </c>
      <c r="N566">
        <v>198.5</v>
      </c>
      <c r="O566">
        <v>4.7619047620000003</v>
      </c>
      <c r="P566">
        <v>9.9250000000000007</v>
      </c>
      <c r="Q566">
        <v>9</v>
      </c>
      <c r="R566" s="3">
        <f t="shared" si="32"/>
        <v>198.5</v>
      </c>
      <c r="S566" t="str">
        <f t="shared" si="33"/>
        <v>March</v>
      </c>
      <c r="T566">
        <f t="shared" si="34"/>
        <v>3</v>
      </c>
      <c r="U566" t="str">
        <f t="shared" si="35"/>
        <v>Wednesday</v>
      </c>
    </row>
    <row r="567" spans="1:21" x14ac:dyDescent="0.2">
      <c r="A567" t="s">
        <v>605</v>
      </c>
      <c r="B567" t="s">
        <v>22</v>
      </c>
      <c r="C567" t="s">
        <v>23</v>
      </c>
      <c r="D567" t="s">
        <v>31</v>
      </c>
      <c r="E567" t="s">
        <v>25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  <c r="R567" s="3">
        <f t="shared" si="32"/>
        <v>812.09999999999991</v>
      </c>
      <c r="S567" t="str">
        <f t="shared" si="33"/>
        <v>January</v>
      </c>
      <c r="T567">
        <f t="shared" si="34"/>
        <v>1</v>
      </c>
      <c r="U567" t="str">
        <f t="shared" si="35"/>
        <v>Thursday</v>
      </c>
    </row>
    <row r="568" spans="1:21" x14ac:dyDescent="0.2">
      <c r="A568" t="s">
        <v>606</v>
      </c>
      <c r="B568" t="s">
        <v>29</v>
      </c>
      <c r="C568" t="s">
        <v>30</v>
      </c>
      <c r="D568" t="s">
        <v>31</v>
      </c>
      <c r="E568" t="s">
        <v>25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  <c r="R568" s="3">
        <f t="shared" si="32"/>
        <v>493.29999999999995</v>
      </c>
      <c r="S568" t="str">
        <f t="shared" si="33"/>
        <v>March</v>
      </c>
      <c r="T568">
        <f t="shared" si="34"/>
        <v>3</v>
      </c>
      <c r="U568" t="str">
        <f t="shared" si="35"/>
        <v>Saturday</v>
      </c>
    </row>
    <row r="569" spans="1:21" x14ac:dyDescent="0.2">
      <c r="A569" t="s">
        <v>607</v>
      </c>
      <c r="B569" t="s">
        <v>22</v>
      </c>
      <c r="C569" t="s">
        <v>23</v>
      </c>
      <c r="D569" t="s">
        <v>31</v>
      </c>
      <c r="E569" t="s">
        <v>25</v>
      </c>
      <c r="F569" t="s">
        <v>49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33</v>
      </c>
      <c r="N569">
        <v>591.66</v>
      </c>
      <c r="O569">
        <v>4.7619047620000003</v>
      </c>
      <c r="P569">
        <v>29.582999999999998</v>
      </c>
      <c r="Q569">
        <v>7.7</v>
      </c>
      <c r="R569" s="3">
        <f t="shared" si="32"/>
        <v>591.66</v>
      </c>
      <c r="S569" t="str">
        <f t="shared" si="33"/>
        <v>January</v>
      </c>
      <c r="T569">
        <f t="shared" si="34"/>
        <v>1</v>
      </c>
      <c r="U569" t="str">
        <f t="shared" si="35"/>
        <v>Tuesday</v>
      </c>
    </row>
    <row r="570" spans="1:21" x14ac:dyDescent="0.2">
      <c r="A570" t="s">
        <v>608</v>
      </c>
      <c r="B570" t="s">
        <v>45</v>
      </c>
      <c r="C570" t="s">
        <v>46</v>
      </c>
      <c r="D570" t="s">
        <v>31</v>
      </c>
      <c r="E570" t="s">
        <v>25</v>
      </c>
      <c r="F570" t="s">
        <v>49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  <c r="R570" s="3">
        <f t="shared" si="32"/>
        <v>559.02</v>
      </c>
      <c r="S570" t="str">
        <f t="shared" si="33"/>
        <v>October</v>
      </c>
      <c r="T570">
        <f t="shared" si="34"/>
        <v>10</v>
      </c>
      <c r="U570" t="str">
        <f t="shared" si="35"/>
        <v>Tuesday</v>
      </c>
    </row>
    <row r="571" spans="1:21" x14ac:dyDescent="0.2">
      <c r="A571" t="s">
        <v>609</v>
      </c>
      <c r="B571" t="s">
        <v>29</v>
      </c>
      <c r="C571" t="s">
        <v>30</v>
      </c>
      <c r="D571" t="s">
        <v>31</v>
      </c>
      <c r="E571" t="s">
        <v>25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27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3">
        <f t="shared" si="32"/>
        <v>517.86</v>
      </c>
      <c r="S571" t="str">
        <f t="shared" si="33"/>
        <v>February</v>
      </c>
      <c r="T571">
        <f t="shared" si="34"/>
        <v>2</v>
      </c>
      <c r="U571" t="str">
        <f t="shared" si="35"/>
        <v>Sunday</v>
      </c>
    </row>
    <row r="572" spans="1:21" x14ac:dyDescent="0.2">
      <c r="A572" t="s">
        <v>610</v>
      </c>
      <c r="B572" t="s">
        <v>45</v>
      </c>
      <c r="C572" t="s">
        <v>46</v>
      </c>
      <c r="D572" t="s">
        <v>24</v>
      </c>
      <c r="E572" t="s">
        <v>25</v>
      </c>
      <c r="F572" t="s">
        <v>35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  <c r="R572" s="3">
        <f t="shared" si="32"/>
        <v>410.20000000000005</v>
      </c>
      <c r="S572" t="str">
        <f t="shared" si="33"/>
        <v>February</v>
      </c>
      <c r="T572">
        <f t="shared" si="34"/>
        <v>2</v>
      </c>
      <c r="U572" t="str">
        <f t="shared" si="35"/>
        <v>Monday</v>
      </c>
    </row>
    <row r="573" spans="1:21" x14ac:dyDescent="0.2">
      <c r="A573" t="s">
        <v>611</v>
      </c>
      <c r="B573" t="s">
        <v>45</v>
      </c>
      <c r="C573" t="s">
        <v>46</v>
      </c>
      <c r="D573" t="s">
        <v>24</v>
      </c>
      <c r="E573" t="s">
        <v>181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33</v>
      </c>
      <c r="N573">
        <v>266.7</v>
      </c>
      <c r="O573">
        <v>4.7619047620000003</v>
      </c>
      <c r="P573">
        <v>13.335000000000001</v>
      </c>
      <c r="Q573">
        <v>8.6</v>
      </c>
      <c r="R573" s="3">
        <f t="shared" si="32"/>
        <v>266.70000000000005</v>
      </c>
      <c r="S573" t="str">
        <f t="shared" si="33"/>
        <v>January</v>
      </c>
      <c r="T573">
        <f t="shared" si="34"/>
        <v>1</v>
      </c>
      <c r="U573" t="str">
        <f t="shared" si="35"/>
        <v>Tuesday</v>
      </c>
    </row>
    <row r="574" spans="1:21" x14ac:dyDescent="0.2">
      <c r="A574" t="s">
        <v>612</v>
      </c>
      <c r="B574" t="s">
        <v>22</v>
      </c>
      <c r="C574" t="s">
        <v>23</v>
      </c>
      <c r="D574" t="s">
        <v>24</v>
      </c>
      <c r="E574" t="s">
        <v>181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27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3">
        <f t="shared" si="32"/>
        <v>70.910000000000011</v>
      </c>
      <c r="S574" t="str">
        <f t="shared" si="33"/>
        <v>October</v>
      </c>
      <c r="T574">
        <f t="shared" si="34"/>
        <v>10</v>
      </c>
      <c r="U574" t="str">
        <f t="shared" si="35"/>
        <v>Thursday</v>
      </c>
    </row>
    <row r="575" spans="1:21" x14ac:dyDescent="0.2">
      <c r="A575" t="s">
        <v>613</v>
      </c>
      <c r="B575" t="s">
        <v>45</v>
      </c>
      <c r="C575" t="s">
        <v>46</v>
      </c>
      <c r="D575" t="s">
        <v>31</v>
      </c>
      <c r="E575" t="s">
        <v>181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  <c r="R575" s="3">
        <f t="shared" si="32"/>
        <v>144.78</v>
      </c>
      <c r="S575" t="str">
        <f t="shared" si="33"/>
        <v>January</v>
      </c>
      <c r="T575">
        <f t="shared" si="34"/>
        <v>1</v>
      </c>
      <c r="U575" t="str">
        <f t="shared" si="35"/>
        <v>Sunday</v>
      </c>
    </row>
    <row r="576" spans="1:21" x14ac:dyDescent="0.2">
      <c r="A576" t="s">
        <v>614</v>
      </c>
      <c r="B576" t="s">
        <v>22</v>
      </c>
      <c r="C576" t="s">
        <v>23</v>
      </c>
      <c r="D576" t="s">
        <v>31</v>
      </c>
      <c r="E576" t="s">
        <v>181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  <c r="R576" s="3">
        <f t="shared" si="32"/>
        <v>429.54999999999995</v>
      </c>
      <c r="S576" t="str">
        <f t="shared" si="33"/>
        <v>March</v>
      </c>
      <c r="T576">
        <f t="shared" si="34"/>
        <v>3</v>
      </c>
      <c r="U576" t="str">
        <f t="shared" si="35"/>
        <v>Friday</v>
      </c>
    </row>
    <row r="577" spans="1:21" x14ac:dyDescent="0.2">
      <c r="A577" t="s">
        <v>615</v>
      </c>
      <c r="B577" t="s">
        <v>45</v>
      </c>
      <c r="C577" t="s">
        <v>46</v>
      </c>
      <c r="D577" t="s">
        <v>24</v>
      </c>
      <c r="E577" t="s">
        <v>181</v>
      </c>
      <c r="F577" t="s">
        <v>49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27</v>
      </c>
      <c r="N577">
        <v>569.16999999999996</v>
      </c>
      <c r="O577">
        <v>4.7619047620000003</v>
      </c>
      <c r="P577">
        <v>28.458500000000001</v>
      </c>
      <c r="Q577">
        <v>6.3</v>
      </c>
      <c r="R577" s="3">
        <f t="shared" si="32"/>
        <v>569.17000000000007</v>
      </c>
      <c r="S577" t="str">
        <f t="shared" si="33"/>
        <v>January</v>
      </c>
      <c r="T577">
        <f t="shared" si="34"/>
        <v>1</v>
      </c>
      <c r="U577" t="str">
        <f t="shared" si="35"/>
        <v>Thursday</v>
      </c>
    </row>
    <row r="578" spans="1:21" x14ac:dyDescent="0.2">
      <c r="A578" t="s">
        <v>616</v>
      </c>
      <c r="B578" t="s">
        <v>45</v>
      </c>
      <c r="C578" t="s">
        <v>46</v>
      </c>
      <c r="D578" t="s">
        <v>31</v>
      </c>
      <c r="E578" t="s">
        <v>181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33</v>
      </c>
      <c r="N578">
        <v>241.2</v>
      </c>
      <c r="O578">
        <v>4.7619047620000003</v>
      </c>
      <c r="P578">
        <v>12.06</v>
      </c>
      <c r="Q578">
        <v>5.8</v>
      </c>
      <c r="R578" s="3">
        <f t="shared" si="32"/>
        <v>241.2</v>
      </c>
      <c r="S578" t="str">
        <f t="shared" si="33"/>
        <v>February</v>
      </c>
      <c r="T578">
        <f t="shared" si="34"/>
        <v>2</v>
      </c>
      <c r="U578" t="str">
        <f t="shared" si="35"/>
        <v>Wednesday</v>
      </c>
    </row>
    <row r="579" spans="1:21" x14ac:dyDescent="0.2">
      <c r="A579" t="s">
        <v>617</v>
      </c>
      <c r="B579" t="s">
        <v>29</v>
      </c>
      <c r="C579" t="s">
        <v>30</v>
      </c>
      <c r="D579" t="s">
        <v>31</v>
      </c>
      <c r="E579" t="s">
        <v>181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27</v>
      </c>
      <c r="N579">
        <v>127.08</v>
      </c>
      <c r="O579">
        <v>4.7619047620000003</v>
      </c>
      <c r="P579">
        <v>6.3540000000000001</v>
      </c>
      <c r="Q579">
        <v>6.2</v>
      </c>
      <c r="R579" s="3">
        <f t="shared" ref="R579:R642" si="36">H579*G579</f>
        <v>127.08</v>
      </c>
      <c r="S579" t="str">
        <f t="shared" ref="S579:S642" si="37">TEXT(K579,"mmmm")</f>
        <v>January</v>
      </c>
      <c r="T579">
        <f t="shared" ref="T579:T642" si="38">MONTH(K579)</f>
        <v>1</v>
      </c>
      <c r="U579" t="str">
        <f t="shared" ref="U579:U642" si="39">TEXT(K579,"dddd")</f>
        <v>Monday</v>
      </c>
    </row>
    <row r="580" spans="1:21" x14ac:dyDescent="0.2">
      <c r="A580" t="s">
        <v>618</v>
      </c>
      <c r="B580" t="s">
        <v>22</v>
      </c>
      <c r="C580" t="s">
        <v>23</v>
      </c>
      <c r="D580" t="s">
        <v>31</v>
      </c>
      <c r="E580" t="s">
        <v>25</v>
      </c>
      <c r="F580" t="s">
        <v>26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33</v>
      </c>
      <c r="N580">
        <v>257.08</v>
      </c>
      <c r="O580">
        <v>4.7619047620000003</v>
      </c>
      <c r="P580">
        <v>12.853999999999999</v>
      </c>
      <c r="Q580">
        <v>7.7</v>
      </c>
      <c r="R580" s="3">
        <f t="shared" si="36"/>
        <v>257.08</v>
      </c>
      <c r="S580" t="str">
        <f t="shared" si="37"/>
        <v>March</v>
      </c>
      <c r="T580">
        <f t="shared" si="38"/>
        <v>3</v>
      </c>
      <c r="U580" t="str">
        <f t="shared" si="39"/>
        <v>Tuesday</v>
      </c>
    </row>
    <row r="581" spans="1:21" x14ac:dyDescent="0.2">
      <c r="A581" t="s">
        <v>619</v>
      </c>
      <c r="B581" t="s">
        <v>45</v>
      </c>
      <c r="C581" t="s">
        <v>46</v>
      </c>
      <c r="D581" t="s">
        <v>31</v>
      </c>
      <c r="E581" t="s">
        <v>181</v>
      </c>
      <c r="F581" t="s">
        <v>26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27</v>
      </c>
      <c r="N581">
        <v>139.02000000000001</v>
      </c>
      <c r="O581">
        <v>4.7619047620000003</v>
      </c>
      <c r="P581">
        <v>6.9509999999999996</v>
      </c>
      <c r="Q581">
        <v>8.1</v>
      </c>
      <c r="R581" s="3">
        <f t="shared" si="36"/>
        <v>139.02000000000001</v>
      </c>
      <c r="S581" t="str">
        <f t="shared" si="37"/>
        <v>January</v>
      </c>
      <c r="T581">
        <f t="shared" si="38"/>
        <v>1</v>
      </c>
      <c r="U581" t="str">
        <f t="shared" si="39"/>
        <v>Thursday</v>
      </c>
    </row>
    <row r="582" spans="1:21" x14ac:dyDescent="0.2">
      <c r="A582" t="s">
        <v>620</v>
      </c>
      <c r="B582" t="s">
        <v>29</v>
      </c>
      <c r="C582" t="s">
        <v>30</v>
      </c>
      <c r="D582" t="s">
        <v>31</v>
      </c>
      <c r="E582" t="s">
        <v>181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33</v>
      </c>
      <c r="N582">
        <v>81.66</v>
      </c>
      <c r="O582">
        <v>4.7619047620000003</v>
      </c>
      <c r="P582">
        <v>4.0830000000000002</v>
      </c>
      <c r="Q582">
        <v>7.3</v>
      </c>
      <c r="R582" s="3">
        <f t="shared" si="36"/>
        <v>81.66</v>
      </c>
      <c r="S582" t="str">
        <f t="shared" si="37"/>
        <v>July</v>
      </c>
      <c r="T582">
        <f t="shared" si="38"/>
        <v>7</v>
      </c>
      <c r="U582" t="str">
        <f t="shared" si="39"/>
        <v>Monday</v>
      </c>
    </row>
    <row r="583" spans="1:21" x14ac:dyDescent="0.2">
      <c r="A583" t="s">
        <v>621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33</v>
      </c>
      <c r="N583">
        <v>310.72000000000003</v>
      </c>
      <c r="O583">
        <v>4.7619047620000003</v>
      </c>
      <c r="P583">
        <v>15.536</v>
      </c>
      <c r="Q583">
        <v>8.4</v>
      </c>
      <c r="R583" s="3">
        <f t="shared" si="36"/>
        <v>310.72000000000003</v>
      </c>
      <c r="S583" t="str">
        <f t="shared" si="37"/>
        <v>January</v>
      </c>
      <c r="T583">
        <f t="shared" si="38"/>
        <v>1</v>
      </c>
      <c r="U583" t="str">
        <f t="shared" si="39"/>
        <v>Wednesday</v>
      </c>
    </row>
    <row r="584" spans="1:21" x14ac:dyDescent="0.2">
      <c r="A584" t="s">
        <v>622</v>
      </c>
      <c r="B584" t="s">
        <v>29</v>
      </c>
      <c r="C584" t="s">
        <v>30</v>
      </c>
      <c r="D584" t="s">
        <v>24</v>
      </c>
      <c r="E584" t="s">
        <v>25</v>
      </c>
      <c r="F584" t="s">
        <v>49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  <c r="R584" s="3">
        <f t="shared" si="36"/>
        <v>185.96</v>
      </c>
      <c r="S584" t="str">
        <f t="shared" si="37"/>
        <v>February</v>
      </c>
      <c r="T584">
        <f t="shared" si="38"/>
        <v>2</v>
      </c>
      <c r="U584" t="str">
        <f t="shared" si="39"/>
        <v>Wednesday</v>
      </c>
    </row>
    <row r="585" spans="1:21" x14ac:dyDescent="0.2">
      <c r="A585" t="s">
        <v>623</v>
      </c>
      <c r="B585" t="s">
        <v>45</v>
      </c>
      <c r="C585" t="s">
        <v>46</v>
      </c>
      <c r="D585" t="s">
        <v>24</v>
      </c>
      <c r="E585" t="s">
        <v>25</v>
      </c>
      <c r="F585" t="s">
        <v>49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  <c r="R585" s="3">
        <f t="shared" si="36"/>
        <v>72.319999999999993</v>
      </c>
      <c r="S585" t="str">
        <f t="shared" si="37"/>
        <v>January</v>
      </c>
      <c r="T585">
        <f t="shared" si="38"/>
        <v>1</v>
      </c>
      <c r="U585" t="str">
        <f t="shared" si="39"/>
        <v>Monday</v>
      </c>
    </row>
    <row r="586" spans="1:21" x14ac:dyDescent="0.2">
      <c r="A586" t="s">
        <v>624</v>
      </c>
      <c r="B586" t="s">
        <v>45</v>
      </c>
      <c r="C586" t="s">
        <v>46</v>
      </c>
      <c r="D586" t="s">
        <v>31</v>
      </c>
      <c r="E586" t="s">
        <v>181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27</v>
      </c>
      <c r="N586">
        <v>189.18</v>
      </c>
      <c r="O586">
        <v>4.7619047620000003</v>
      </c>
      <c r="P586">
        <v>9.4589999999999996</v>
      </c>
      <c r="Q586">
        <v>7</v>
      </c>
      <c r="R586" s="3">
        <f t="shared" si="36"/>
        <v>189.18</v>
      </c>
      <c r="S586" t="str">
        <f t="shared" si="37"/>
        <v>January</v>
      </c>
      <c r="T586">
        <f t="shared" si="38"/>
        <v>1</v>
      </c>
      <c r="U586" t="str">
        <f t="shared" si="39"/>
        <v>Saturday</v>
      </c>
    </row>
    <row r="587" spans="1:21" x14ac:dyDescent="0.2">
      <c r="A587" t="s">
        <v>625</v>
      </c>
      <c r="B587" t="s">
        <v>22</v>
      </c>
      <c r="C587" t="s">
        <v>23</v>
      </c>
      <c r="D587" t="s">
        <v>31</v>
      </c>
      <c r="E587" t="s">
        <v>181</v>
      </c>
      <c r="F587" t="s">
        <v>26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3">
        <f t="shared" si="36"/>
        <v>206.84</v>
      </c>
      <c r="S587" t="str">
        <f t="shared" si="37"/>
        <v>September</v>
      </c>
      <c r="T587">
        <f t="shared" si="38"/>
        <v>9</v>
      </c>
      <c r="U587" t="str">
        <f t="shared" si="39"/>
        <v>Tuesday</v>
      </c>
    </row>
    <row r="588" spans="1:21" x14ac:dyDescent="0.2">
      <c r="A588" t="s">
        <v>626</v>
      </c>
      <c r="B588" t="s">
        <v>22</v>
      </c>
      <c r="C588" t="s">
        <v>23</v>
      </c>
      <c r="D588" t="s">
        <v>31</v>
      </c>
      <c r="E588" t="s">
        <v>25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33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3">
        <f t="shared" si="36"/>
        <v>157.02000000000001</v>
      </c>
      <c r="S588" t="str">
        <f t="shared" si="37"/>
        <v>March</v>
      </c>
      <c r="T588">
        <f t="shared" si="38"/>
        <v>3</v>
      </c>
      <c r="U588" t="str">
        <f t="shared" si="39"/>
        <v>Wednesday</v>
      </c>
    </row>
    <row r="589" spans="1:21" x14ac:dyDescent="0.2">
      <c r="A589" t="s">
        <v>627</v>
      </c>
      <c r="B589" t="s">
        <v>22</v>
      </c>
      <c r="C589" t="s">
        <v>23</v>
      </c>
      <c r="D589" t="s">
        <v>31</v>
      </c>
      <c r="E589" t="s">
        <v>25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27</v>
      </c>
      <c r="N589">
        <v>215.3</v>
      </c>
      <c r="O589">
        <v>4.7619047620000003</v>
      </c>
      <c r="P589">
        <v>10.765000000000001</v>
      </c>
      <c r="Q589">
        <v>7.7</v>
      </c>
      <c r="R589" s="3">
        <f t="shared" si="36"/>
        <v>215.3</v>
      </c>
      <c r="S589" t="str">
        <f t="shared" si="37"/>
        <v>April</v>
      </c>
      <c r="T589">
        <f t="shared" si="38"/>
        <v>4</v>
      </c>
      <c r="U589" t="str">
        <f t="shared" si="39"/>
        <v>Tuesday</v>
      </c>
    </row>
    <row r="590" spans="1:21" x14ac:dyDescent="0.2">
      <c r="A590" t="s">
        <v>628</v>
      </c>
      <c r="B590" t="s">
        <v>29</v>
      </c>
      <c r="C590" t="s">
        <v>30</v>
      </c>
      <c r="D590" t="s">
        <v>31</v>
      </c>
      <c r="E590" t="s">
        <v>181</v>
      </c>
      <c r="F590" t="s">
        <v>49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33</v>
      </c>
      <c r="N590">
        <v>596.1</v>
      </c>
      <c r="O590">
        <v>4.7619047620000003</v>
      </c>
      <c r="P590">
        <v>29.805</v>
      </c>
      <c r="Q590">
        <v>5.3</v>
      </c>
      <c r="R590" s="3">
        <f t="shared" si="36"/>
        <v>596.1</v>
      </c>
      <c r="S590" t="str">
        <f t="shared" si="37"/>
        <v>March</v>
      </c>
      <c r="T590">
        <f t="shared" si="38"/>
        <v>3</v>
      </c>
      <c r="U590" t="str">
        <f t="shared" si="39"/>
        <v>Thursday</v>
      </c>
    </row>
    <row r="591" spans="1:21" x14ac:dyDescent="0.2">
      <c r="A591" t="s">
        <v>629</v>
      </c>
      <c r="B591" t="s">
        <v>22</v>
      </c>
      <c r="C591" t="s">
        <v>23</v>
      </c>
      <c r="D591" t="s">
        <v>31</v>
      </c>
      <c r="E591" t="s">
        <v>181</v>
      </c>
      <c r="F591" t="s">
        <v>26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33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3">
        <f t="shared" si="36"/>
        <v>73.099999999999994</v>
      </c>
      <c r="S591" t="str">
        <f t="shared" si="37"/>
        <v>April</v>
      </c>
      <c r="T591">
        <f t="shared" si="38"/>
        <v>4</v>
      </c>
      <c r="U591" t="str">
        <f t="shared" si="39"/>
        <v>Wednesday</v>
      </c>
    </row>
    <row r="592" spans="1:21" x14ac:dyDescent="0.2">
      <c r="A592" t="s">
        <v>630</v>
      </c>
      <c r="B592" t="s">
        <v>29</v>
      </c>
      <c r="C592" t="s">
        <v>30</v>
      </c>
      <c r="D592" t="s">
        <v>24</v>
      </c>
      <c r="E592" t="s">
        <v>181</v>
      </c>
      <c r="F592" t="s">
        <v>26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  <c r="R592" s="3">
        <f t="shared" si="36"/>
        <v>279.18</v>
      </c>
      <c r="S592" t="str">
        <f t="shared" si="37"/>
        <v>March</v>
      </c>
      <c r="T592">
        <f t="shared" si="38"/>
        <v>3</v>
      </c>
      <c r="U592" t="str">
        <f t="shared" si="39"/>
        <v>Sunday</v>
      </c>
    </row>
    <row r="593" spans="1:21" x14ac:dyDescent="0.2">
      <c r="A593" t="s">
        <v>631</v>
      </c>
      <c r="B593" t="s">
        <v>29</v>
      </c>
      <c r="C593" t="s">
        <v>30</v>
      </c>
      <c r="D593" t="s">
        <v>24</v>
      </c>
      <c r="E593" t="s">
        <v>25</v>
      </c>
      <c r="F593" t="s">
        <v>35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27</v>
      </c>
      <c r="N593">
        <v>169.68</v>
      </c>
      <c r="O593">
        <v>4.7619047620000003</v>
      </c>
      <c r="P593">
        <v>8.484</v>
      </c>
      <c r="Q593">
        <v>9.4</v>
      </c>
      <c r="R593" s="3">
        <f t="shared" si="36"/>
        <v>169.67999999999998</v>
      </c>
      <c r="S593" t="str">
        <f t="shared" si="37"/>
        <v>January</v>
      </c>
      <c r="T593">
        <f t="shared" si="38"/>
        <v>1</v>
      </c>
      <c r="U593" t="str">
        <f t="shared" si="39"/>
        <v>Sunday</v>
      </c>
    </row>
    <row r="594" spans="1:21" x14ac:dyDescent="0.2">
      <c r="A594" t="s">
        <v>632</v>
      </c>
      <c r="B594" t="s">
        <v>22</v>
      </c>
      <c r="C594" t="s">
        <v>23</v>
      </c>
      <c r="D594" t="s">
        <v>24</v>
      </c>
      <c r="E594" t="s">
        <v>25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33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3">
        <f t="shared" si="36"/>
        <v>45.58</v>
      </c>
      <c r="S594" t="str">
        <f t="shared" si="37"/>
        <v>July</v>
      </c>
      <c r="T594">
        <f t="shared" si="38"/>
        <v>7</v>
      </c>
      <c r="U594" t="str">
        <f t="shared" si="39"/>
        <v>Tuesday</v>
      </c>
    </row>
    <row r="595" spans="1:21" x14ac:dyDescent="0.2">
      <c r="A595" t="s">
        <v>633</v>
      </c>
      <c r="B595" t="s">
        <v>22</v>
      </c>
      <c r="C595" t="s">
        <v>23</v>
      </c>
      <c r="D595" t="s">
        <v>24</v>
      </c>
      <c r="E595" t="s">
        <v>25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27</v>
      </c>
      <c r="N595">
        <v>225.6</v>
      </c>
      <c r="O595">
        <v>4.7619047620000003</v>
      </c>
      <c r="P595">
        <v>11.28</v>
      </c>
      <c r="Q595">
        <v>4.8</v>
      </c>
      <c r="R595" s="3">
        <f t="shared" si="36"/>
        <v>225.60000000000002</v>
      </c>
      <c r="S595" t="str">
        <f t="shared" si="37"/>
        <v>May</v>
      </c>
      <c r="T595">
        <f t="shared" si="38"/>
        <v>5</v>
      </c>
      <c r="U595" t="str">
        <f t="shared" si="39"/>
        <v>Thursday</v>
      </c>
    </row>
    <row r="596" spans="1:21" x14ac:dyDescent="0.2">
      <c r="A596" t="s">
        <v>634</v>
      </c>
      <c r="B596" t="s">
        <v>45</v>
      </c>
      <c r="C596" t="s">
        <v>46</v>
      </c>
      <c r="D596" t="s">
        <v>24</v>
      </c>
      <c r="E596" t="s">
        <v>181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33</v>
      </c>
      <c r="N596">
        <v>290.39999999999998</v>
      </c>
      <c r="O596">
        <v>4.7619047620000003</v>
      </c>
      <c r="P596">
        <v>14.52</v>
      </c>
      <c r="Q596">
        <v>5.3</v>
      </c>
      <c r="R596" s="3">
        <f t="shared" si="36"/>
        <v>290.39999999999998</v>
      </c>
      <c r="S596" t="str">
        <f t="shared" si="37"/>
        <v>March</v>
      </c>
      <c r="T596">
        <f t="shared" si="38"/>
        <v>3</v>
      </c>
      <c r="U596" t="str">
        <f t="shared" si="39"/>
        <v>Friday</v>
      </c>
    </row>
    <row r="597" spans="1:21" x14ac:dyDescent="0.2">
      <c r="A597" t="s">
        <v>635</v>
      </c>
      <c r="B597" t="s">
        <v>45</v>
      </c>
      <c r="C597" t="s">
        <v>46</v>
      </c>
      <c r="D597" t="s">
        <v>31</v>
      </c>
      <c r="E597" t="s">
        <v>181</v>
      </c>
      <c r="F597" t="s">
        <v>26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3">
        <f t="shared" si="36"/>
        <v>44.46</v>
      </c>
      <c r="S597" t="str">
        <f t="shared" si="37"/>
        <v>January</v>
      </c>
      <c r="T597">
        <f t="shared" si="38"/>
        <v>1</v>
      </c>
      <c r="U597" t="str">
        <f t="shared" si="39"/>
        <v>Thursday</v>
      </c>
    </row>
    <row r="598" spans="1:21" x14ac:dyDescent="0.2">
      <c r="A598" t="s">
        <v>636</v>
      </c>
      <c r="B598" t="s">
        <v>22</v>
      </c>
      <c r="C598" t="s">
        <v>23</v>
      </c>
      <c r="D598" t="s">
        <v>31</v>
      </c>
      <c r="E598" t="s">
        <v>181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  <c r="R598" s="3">
        <f t="shared" si="36"/>
        <v>156.60000000000002</v>
      </c>
      <c r="S598" t="str">
        <f t="shared" si="37"/>
        <v>February</v>
      </c>
      <c r="T598">
        <f t="shared" si="38"/>
        <v>2</v>
      </c>
      <c r="U598" t="str">
        <f t="shared" si="39"/>
        <v>Friday</v>
      </c>
    </row>
    <row r="599" spans="1:21" x14ac:dyDescent="0.2">
      <c r="A599" t="s">
        <v>637</v>
      </c>
      <c r="B599" t="s">
        <v>29</v>
      </c>
      <c r="C599" t="s">
        <v>30</v>
      </c>
      <c r="D599" t="s">
        <v>31</v>
      </c>
      <c r="E599" t="s">
        <v>25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27</v>
      </c>
      <c r="N599">
        <v>419.94</v>
      </c>
      <c r="O599">
        <v>4.7619047620000003</v>
      </c>
      <c r="P599">
        <v>20.997</v>
      </c>
      <c r="Q599">
        <v>5.3</v>
      </c>
      <c r="R599" s="3">
        <f t="shared" si="36"/>
        <v>419.93999999999994</v>
      </c>
      <c r="S599" t="str">
        <f t="shared" si="37"/>
        <v>February</v>
      </c>
      <c r="T599">
        <f t="shared" si="38"/>
        <v>2</v>
      </c>
      <c r="U599" t="str">
        <f t="shared" si="39"/>
        <v>Sunday</v>
      </c>
    </row>
    <row r="600" spans="1:21" x14ac:dyDescent="0.2">
      <c r="A600" t="s">
        <v>638</v>
      </c>
      <c r="B600" t="s">
        <v>29</v>
      </c>
      <c r="C600" t="s">
        <v>30</v>
      </c>
      <c r="D600" t="s">
        <v>31</v>
      </c>
      <c r="E600" t="s">
        <v>25</v>
      </c>
      <c r="F600" t="s">
        <v>49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33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3">
        <f t="shared" si="36"/>
        <v>184.25</v>
      </c>
      <c r="S600" t="str">
        <f t="shared" si="37"/>
        <v>January</v>
      </c>
      <c r="T600">
        <f t="shared" si="38"/>
        <v>1</v>
      </c>
      <c r="U600" t="str">
        <f t="shared" si="39"/>
        <v>Saturday</v>
      </c>
    </row>
    <row r="601" spans="1:21" x14ac:dyDescent="0.2">
      <c r="A601" t="s">
        <v>639</v>
      </c>
      <c r="B601" t="s">
        <v>22</v>
      </c>
      <c r="C601" t="s">
        <v>23</v>
      </c>
      <c r="D601" t="s">
        <v>24</v>
      </c>
      <c r="E601" t="s">
        <v>25</v>
      </c>
      <c r="F601" t="s">
        <v>35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27</v>
      </c>
      <c r="N601">
        <v>140.63999999999999</v>
      </c>
      <c r="O601">
        <v>4.7619047620000003</v>
      </c>
      <c r="P601">
        <v>7.032</v>
      </c>
      <c r="Q601">
        <v>9.6</v>
      </c>
      <c r="R601" s="3">
        <f t="shared" si="36"/>
        <v>140.63999999999999</v>
      </c>
      <c r="S601" t="str">
        <f t="shared" si="37"/>
        <v>March</v>
      </c>
      <c r="T601">
        <f t="shared" si="38"/>
        <v>3</v>
      </c>
      <c r="U601" t="str">
        <f t="shared" si="39"/>
        <v>Sunday</v>
      </c>
    </row>
    <row r="602" spans="1:21" x14ac:dyDescent="0.2">
      <c r="A602" t="s">
        <v>640</v>
      </c>
      <c r="B602" t="s">
        <v>29</v>
      </c>
      <c r="C602" t="s">
        <v>30</v>
      </c>
      <c r="D602" t="s">
        <v>31</v>
      </c>
      <c r="E602" t="s">
        <v>181</v>
      </c>
      <c r="F602" t="s">
        <v>32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27</v>
      </c>
      <c r="N602">
        <v>83.08</v>
      </c>
      <c r="O602">
        <v>4.7619047620000003</v>
      </c>
      <c r="P602">
        <v>4.1539999999999999</v>
      </c>
      <c r="Q602">
        <v>6.4</v>
      </c>
      <c r="R602" s="3">
        <f t="shared" si="36"/>
        <v>83.08</v>
      </c>
      <c r="S602" t="str">
        <f t="shared" si="37"/>
        <v>January</v>
      </c>
      <c r="T602">
        <f t="shared" si="38"/>
        <v>1</v>
      </c>
      <c r="U602" t="str">
        <f t="shared" si="39"/>
        <v>Wednesday</v>
      </c>
    </row>
    <row r="603" spans="1:21" x14ac:dyDescent="0.2">
      <c r="A603" t="s">
        <v>641</v>
      </c>
      <c r="B603" t="s">
        <v>29</v>
      </c>
      <c r="C603" t="s">
        <v>30</v>
      </c>
      <c r="D603" t="s">
        <v>31</v>
      </c>
      <c r="E603" t="s">
        <v>25</v>
      </c>
      <c r="F603" t="s">
        <v>49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  <c r="R603" s="3">
        <f t="shared" si="36"/>
        <v>64.989999999999995</v>
      </c>
      <c r="S603" t="str">
        <f t="shared" si="37"/>
        <v>January</v>
      </c>
      <c r="T603">
        <f t="shared" si="38"/>
        <v>1</v>
      </c>
      <c r="U603" t="str">
        <f t="shared" si="39"/>
        <v>Saturday</v>
      </c>
    </row>
    <row r="604" spans="1:21" x14ac:dyDescent="0.2">
      <c r="A604" t="s">
        <v>642</v>
      </c>
      <c r="B604" t="s">
        <v>29</v>
      </c>
      <c r="C604" t="s">
        <v>30</v>
      </c>
      <c r="D604" t="s">
        <v>31</v>
      </c>
      <c r="E604" t="s">
        <v>181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27</v>
      </c>
      <c r="N604">
        <v>775.6</v>
      </c>
      <c r="O604">
        <v>4.7619047620000003</v>
      </c>
      <c r="P604">
        <v>38.78</v>
      </c>
      <c r="Q604">
        <v>6.9</v>
      </c>
      <c r="R604" s="3">
        <f t="shared" si="36"/>
        <v>775.6</v>
      </c>
      <c r="S604" t="str">
        <f t="shared" si="37"/>
        <v>March</v>
      </c>
      <c r="T604">
        <f t="shared" si="38"/>
        <v>3</v>
      </c>
      <c r="U604" t="str">
        <f t="shared" si="39"/>
        <v>Thursday</v>
      </c>
    </row>
    <row r="605" spans="1:21" x14ac:dyDescent="0.2">
      <c r="A605" t="s">
        <v>643</v>
      </c>
      <c r="B605" t="s">
        <v>45</v>
      </c>
      <c r="C605" t="s">
        <v>46</v>
      </c>
      <c r="D605" t="s">
        <v>31</v>
      </c>
      <c r="E605" t="s">
        <v>25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27</v>
      </c>
      <c r="N605">
        <v>327.06</v>
      </c>
      <c r="O605">
        <v>4.7619047620000003</v>
      </c>
      <c r="P605">
        <v>16.353000000000002</v>
      </c>
      <c r="Q605">
        <v>7.8</v>
      </c>
      <c r="R605" s="3">
        <f t="shared" si="36"/>
        <v>327.06</v>
      </c>
      <c r="S605" t="str">
        <f t="shared" si="37"/>
        <v>March</v>
      </c>
      <c r="T605">
        <f t="shared" si="38"/>
        <v>3</v>
      </c>
      <c r="U605" t="str">
        <f t="shared" si="39"/>
        <v>Sunday</v>
      </c>
    </row>
    <row r="606" spans="1:21" x14ac:dyDescent="0.2">
      <c r="A606" t="s">
        <v>644</v>
      </c>
      <c r="B606" t="s">
        <v>29</v>
      </c>
      <c r="C606" t="s">
        <v>30</v>
      </c>
      <c r="D606" t="s">
        <v>24</v>
      </c>
      <c r="E606" t="s">
        <v>25</v>
      </c>
      <c r="F606" t="s">
        <v>49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33</v>
      </c>
      <c r="N606">
        <v>363.23</v>
      </c>
      <c r="O606">
        <v>4.7619047620000003</v>
      </c>
      <c r="P606">
        <v>18.1615</v>
      </c>
      <c r="Q606">
        <v>4.5</v>
      </c>
      <c r="R606" s="3">
        <f t="shared" si="36"/>
        <v>363.23</v>
      </c>
      <c r="S606" t="str">
        <f t="shared" si="37"/>
        <v>August</v>
      </c>
      <c r="T606">
        <f t="shared" si="38"/>
        <v>8</v>
      </c>
      <c r="U606" t="str">
        <f t="shared" si="39"/>
        <v>Thursday</v>
      </c>
    </row>
    <row r="607" spans="1:21" x14ac:dyDescent="0.2">
      <c r="A607" t="s">
        <v>645</v>
      </c>
      <c r="B607" t="s">
        <v>45</v>
      </c>
      <c r="C607" t="s">
        <v>46</v>
      </c>
      <c r="D607" t="s">
        <v>31</v>
      </c>
      <c r="E607" t="s">
        <v>181</v>
      </c>
      <c r="F607" t="s">
        <v>35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33</v>
      </c>
      <c r="N607">
        <v>127</v>
      </c>
      <c r="O607">
        <v>4.7619047620000003</v>
      </c>
      <c r="P607">
        <v>6.35</v>
      </c>
      <c r="Q607">
        <v>8.6</v>
      </c>
      <c r="R607" s="3">
        <f t="shared" si="36"/>
        <v>127</v>
      </c>
      <c r="S607" t="str">
        <f t="shared" si="37"/>
        <v>August</v>
      </c>
      <c r="T607">
        <f t="shared" si="38"/>
        <v>8</v>
      </c>
      <c r="U607" t="str">
        <f t="shared" si="39"/>
        <v>Friday</v>
      </c>
    </row>
    <row r="608" spans="1:21" x14ac:dyDescent="0.2">
      <c r="A608" t="s">
        <v>646</v>
      </c>
      <c r="B608" t="s">
        <v>22</v>
      </c>
      <c r="C608" t="s">
        <v>23</v>
      </c>
      <c r="D608" t="s">
        <v>24</v>
      </c>
      <c r="E608" t="s">
        <v>25</v>
      </c>
      <c r="F608" t="s">
        <v>49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27</v>
      </c>
      <c r="N608">
        <v>375.55</v>
      </c>
      <c r="O608">
        <v>4.7619047620000003</v>
      </c>
      <c r="P608">
        <v>18.7775</v>
      </c>
      <c r="Q608">
        <v>5.2</v>
      </c>
      <c r="R608" s="3">
        <f t="shared" si="36"/>
        <v>375.55</v>
      </c>
      <c r="S608" t="str">
        <f t="shared" si="37"/>
        <v>October</v>
      </c>
      <c r="T608">
        <f t="shared" si="38"/>
        <v>10</v>
      </c>
      <c r="U608" t="str">
        <f t="shared" si="39"/>
        <v>Wednesday</v>
      </c>
    </row>
    <row r="609" spans="1:21" x14ac:dyDescent="0.2">
      <c r="A609" t="s">
        <v>647</v>
      </c>
      <c r="B609" t="s">
        <v>29</v>
      </c>
      <c r="C609" t="s">
        <v>30</v>
      </c>
      <c r="D609" t="s">
        <v>24</v>
      </c>
      <c r="E609" t="s">
        <v>25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  <c r="R609" s="3">
        <f t="shared" si="36"/>
        <v>199.16</v>
      </c>
      <c r="S609" t="str">
        <f t="shared" si="37"/>
        <v>March</v>
      </c>
      <c r="T609">
        <f t="shared" si="38"/>
        <v>3</v>
      </c>
      <c r="U609" t="str">
        <f t="shared" si="39"/>
        <v>Thursday</v>
      </c>
    </row>
    <row r="610" spans="1:21" x14ac:dyDescent="0.2">
      <c r="A610" t="s">
        <v>648</v>
      </c>
      <c r="B610" t="s">
        <v>22</v>
      </c>
      <c r="C610" t="s">
        <v>23</v>
      </c>
      <c r="D610" t="s">
        <v>31</v>
      </c>
      <c r="E610" t="s">
        <v>181</v>
      </c>
      <c r="F610" t="s">
        <v>49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27</v>
      </c>
      <c r="N610">
        <v>30.61</v>
      </c>
      <c r="O610">
        <v>4.7619047620000003</v>
      </c>
      <c r="P610">
        <v>1.5305</v>
      </c>
      <c r="Q610">
        <v>5.2</v>
      </c>
      <c r="R610" s="3">
        <f t="shared" si="36"/>
        <v>30.61</v>
      </c>
      <c r="S610" t="str">
        <f t="shared" si="37"/>
        <v>January</v>
      </c>
      <c r="T610">
        <f t="shared" si="38"/>
        <v>1</v>
      </c>
      <c r="U610" t="str">
        <f t="shared" si="39"/>
        <v>Wednesday</v>
      </c>
    </row>
    <row r="611" spans="1:21" x14ac:dyDescent="0.2">
      <c r="A611" t="s">
        <v>649</v>
      </c>
      <c r="B611" t="s">
        <v>45</v>
      </c>
      <c r="C611" t="s">
        <v>46</v>
      </c>
      <c r="D611" t="s">
        <v>24</v>
      </c>
      <c r="E611" t="s">
        <v>181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27</v>
      </c>
      <c r="N611">
        <v>115.78</v>
      </c>
      <c r="O611">
        <v>4.7619047620000003</v>
      </c>
      <c r="P611">
        <v>5.7889999999999997</v>
      </c>
      <c r="Q611">
        <v>8.9</v>
      </c>
      <c r="R611" s="3">
        <f t="shared" si="36"/>
        <v>115.78</v>
      </c>
      <c r="S611" t="str">
        <f t="shared" si="37"/>
        <v>January</v>
      </c>
      <c r="T611">
        <f t="shared" si="38"/>
        <v>1</v>
      </c>
      <c r="U611" t="str">
        <f t="shared" si="39"/>
        <v>Thursday</v>
      </c>
    </row>
    <row r="612" spans="1:21" x14ac:dyDescent="0.2">
      <c r="A612" t="s">
        <v>650</v>
      </c>
      <c r="B612" t="s">
        <v>22</v>
      </c>
      <c r="C612" t="s">
        <v>23</v>
      </c>
      <c r="D612" t="s">
        <v>31</v>
      </c>
      <c r="E612" t="s">
        <v>25</v>
      </c>
      <c r="F612" t="s">
        <v>32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  <c r="R612" s="3">
        <f t="shared" si="36"/>
        <v>28.96</v>
      </c>
      <c r="S612" t="str">
        <f t="shared" si="37"/>
        <v>July</v>
      </c>
      <c r="T612">
        <f t="shared" si="38"/>
        <v>7</v>
      </c>
      <c r="U612" t="str">
        <f t="shared" si="39"/>
        <v>Tuesday</v>
      </c>
    </row>
    <row r="613" spans="1:21" x14ac:dyDescent="0.2">
      <c r="A613" t="s">
        <v>651</v>
      </c>
      <c r="B613" t="s">
        <v>29</v>
      </c>
      <c r="C613" t="s">
        <v>30</v>
      </c>
      <c r="D613" t="s">
        <v>24</v>
      </c>
      <c r="E613" t="s">
        <v>25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33</v>
      </c>
      <c r="N613">
        <v>890.73</v>
      </c>
      <c r="O613">
        <v>4.7619047620000003</v>
      </c>
      <c r="P613">
        <v>44.536499999999997</v>
      </c>
      <c r="Q613">
        <v>6.7</v>
      </c>
      <c r="R613" s="3">
        <f t="shared" si="36"/>
        <v>890.73</v>
      </c>
      <c r="S613" t="str">
        <f t="shared" si="37"/>
        <v>September</v>
      </c>
      <c r="T613">
        <f t="shared" si="38"/>
        <v>9</v>
      </c>
      <c r="U613" t="str">
        <f t="shared" si="39"/>
        <v>Tuesday</v>
      </c>
    </row>
    <row r="614" spans="1:21" x14ac:dyDescent="0.2">
      <c r="A614" t="s">
        <v>652</v>
      </c>
      <c r="B614" t="s">
        <v>45</v>
      </c>
      <c r="C614" t="s">
        <v>46</v>
      </c>
      <c r="D614" t="s">
        <v>24</v>
      </c>
      <c r="E614" t="s">
        <v>181</v>
      </c>
      <c r="F614" t="s">
        <v>49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33</v>
      </c>
      <c r="N614">
        <v>279.66000000000003</v>
      </c>
      <c r="O614">
        <v>4.7619047620000003</v>
      </c>
      <c r="P614">
        <v>13.983000000000001</v>
      </c>
      <c r="Q614">
        <v>7.2</v>
      </c>
      <c r="R614" s="3">
        <f t="shared" si="36"/>
        <v>279.65999999999997</v>
      </c>
      <c r="S614" t="str">
        <f t="shared" si="37"/>
        <v>January</v>
      </c>
      <c r="T614">
        <f t="shared" si="38"/>
        <v>1</v>
      </c>
      <c r="U614" t="str">
        <f t="shared" si="39"/>
        <v>Thursday</v>
      </c>
    </row>
    <row r="615" spans="1:21" x14ac:dyDescent="0.2">
      <c r="A615" t="s">
        <v>653</v>
      </c>
      <c r="B615" t="s">
        <v>29</v>
      </c>
      <c r="C615" t="s">
        <v>30</v>
      </c>
      <c r="D615" t="s">
        <v>24</v>
      </c>
      <c r="E615" t="s">
        <v>181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  <c r="R615" s="3">
        <f t="shared" si="36"/>
        <v>80.930000000000007</v>
      </c>
      <c r="S615" t="str">
        <f t="shared" si="37"/>
        <v>January</v>
      </c>
      <c r="T615">
        <f t="shared" si="38"/>
        <v>1</v>
      </c>
      <c r="U615" t="str">
        <f t="shared" si="39"/>
        <v>Saturday</v>
      </c>
    </row>
    <row r="616" spans="1:21" x14ac:dyDescent="0.2">
      <c r="A616" t="s">
        <v>654</v>
      </c>
      <c r="B616" t="s">
        <v>22</v>
      </c>
      <c r="C616" t="s">
        <v>23</v>
      </c>
      <c r="D616" t="s">
        <v>24</v>
      </c>
      <c r="E616" t="s">
        <v>181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27</v>
      </c>
      <c r="N616">
        <v>674.5</v>
      </c>
      <c r="O616">
        <v>4.7619047620000003</v>
      </c>
      <c r="P616">
        <v>33.725000000000001</v>
      </c>
      <c r="Q616">
        <v>4.2</v>
      </c>
      <c r="R616" s="3">
        <f t="shared" si="36"/>
        <v>674.5</v>
      </c>
      <c r="S616" t="str">
        <f t="shared" si="37"/>
        <v>March</v>
      </c>
      <c r="T616">
        <f t="shared" si="38"/>
        <v>3</v>
      </c>
      <c r="U616" t="str">
        <f t="shared" si="39"/>
        <v>Saturday</v>
      </c>
    </row>
    <row r="617" spans="1:21" x14ac:dyDescent="0.2">
      <c r="A617" t="s">
        <v>655</v>
      </c>
      <c r="B617" t="s">
        <v>22</v>
      </c>
      <c r="C617" t="s">
        <v>23</v>
      </c>
      <c r="D617" t="s">
        <v>24</v>
      </c>
      <c r="E617" t="s">
        <v>25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27</v>
      </c>
      <c r="N617">
        <v>348.48</v>
      </c>
      <c r="O617">
        <v>4.7619047620000003</v>
      </c>
      <c r="P617">
        <v>17.423999999999999</v>
      </c>
      <c r="Q617">
        <v>4.2</v>
      </c>
      <c r="R617" s="3">
        <f t="shared" si="36"/>
        <v>348.48</v>
      </c>
      <c r="S617" t="str">
        <f t="shared" si="37"/>
        <v>March</v>
      </c>
      <c r="T617">
        <f t="shared" si="38"/>
        <v>3</v>
      </c>
      <c r="U617" t="str">
        <f t="shared" si="39"/>
        <v>Wednesday</v>
      </c>
    </row>
    <row r="618" spans="1:21" x14ac:dyDescent="0.2">
      <c r="A618" t="s">
        <v>656</v>
      </c>
      <c r="B618" t="s">
        <v>45</v>
      </c>
      <c r="C618" t="s">
        <v>46</v>
      </c>
      <c r="D618" t="s">
        <v>24</v>
      </c>
      <c r="E618" t="s">
        <v>181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33</v>
      </c>
      <c r="N618">
        <v>435.6</v>
      </c>
      <c r="O618">
        <v>4.7619047620000003</v>
      </c>
      <c r="P618">
        <v>21.78</v>
      </c>
      <c r="Q618">
        <v>6.9</v>
      </c>
      <c r="R618" s="3">
        <f t="shared" si="36"/>
        <v>435.59999999999997</v>
      </c>
      <c r="S618" t="str">
        <f t="shared" si="37"/>
        <v>January</v>
      </c>
      <c r="T618">
        <f t="shared" si="38"/>
        <v>1</v>
      </c>
      <c r="U618" t="str">
        <f t="shared" si="39"/>
        <v>Sunday</v>
      </c>
    </row>
    <row r="619" spans="1:21" x14ac:dyDescent="0.2">
      <c r="A619" t="s">
        <v>657</v>
      </c>
      <c r="B619" t="s">
        <v>29</v>
      </c>
      <c r="C619" t="s">
        <v>30</v>
      </c>
      <c r="D619" t="s">
        <v>24</v>
      </c>
      <c r="E619" t="s">
        <v>181</v>
      </c>
      <c r="F619" t="s">
        <v>32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27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3">
        <f t="shared" si="36"/>
        <v>439.54999999999995</v>
      </c>
      <c r="S619" t="str">
        <f t="shared" si="37"/>
        <v>March</v>
      </c>
      <c r="T619">
        <f t="shared" si="38"/>
        <v>3</v>
      </c>
      <c r="U619" t="str">
        <f t="shared" si="39"/>
        <v>Thursday</v>
      </c>
    </row>
    <row r="620" spans="1:21" x14ac:dyDescent="0.2">
      <c r="A620" t="s">
        <v>658</v>
      </c>
      <c r="B620" t="s">
        <v>22</v>
      </c>
      <c r="C620" t="s">
        <v>23</v>
      </c>
      <c r="D620" t="s">
        <v>24</v>
      </c>
      <c r="E620" t="s">
        <v>181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  <c r="R620" s="3">
        <f t="shared" si="36"/>
        <v>591.18000000000006</v>
      </c>
      <c r="S620" t="str">
        <f t="shared" si="37"/>
        <v>January</v>
      </c>
      <c r="T620">
        <f t="shared" si="38"/>
        <v>1</v>
      </c>
      <c r="U620" t="str">
        <f t="shared" si="39"/>
        <v>Wednesday</v>
      </c>
    </row>
    <row r="621" spans="1:21" x14ac:dyDescent="0.2">
      <c r="A621" t="s">
        <v>659</v>
      </c>
      <c r="B621" t="s">
        <v>29</v>
      </c>
      <c r="C621" t="s">
        <v>30</v>
      </c>
      <c r="D621" t="s">
        <v>24</v>
      </c>
      <c r="E621" t="s">
        <v>25</v>
      </c>
      <c r="F621" t="s">
        <v>49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27</v>
      </c>
      <c r="N621">
        <v>260.76</v>
      </c>
      <c r="O621">
        <v>4.7619047620000003</v>
      </c>
      <c r="P621">
        <v>13.038</v>
      </c>
      <c r="Q621">
        <v>8.5</v>
      </c>
      <c r="R621" s="3">
        <f t="shared" si="36"/>
        <v>260.76</v>
      </c>
      <c r="S621" t="str">
        <f t="shared" si="37"/>
        <v>July</v>
      </c>
      <c r="T621">
        <f t="shared" si="38"/>
        <v>7</v>
      </c>
      <c r="U621" t="str">
        <f t="shared" si="39"/>
        <v>Tuesday</v>
      </c>
    </row>
    <row r="622" spans="1:21" x14ac:dyDescent="0.2">
      <c r="A622" t="s">
        <v>660</v>
      </c>
      <c r="B622" t="s">
        <v>22</v>
      </c>
      <c r="C622" t="s">
        <v>23</v>
      </c>
      <c r="D622" t="s">
        <v>31</v>
      </c>
      <c r="E622" t="s">
        <v>25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3">
        <f t="shared" si="36"/>
        <v>215.04000000000002</v>
      </c>
      <c r="S622" t="str">
        <f t="shared" si="37"/>
        <v>March</v>
      </c>
      <c r="T622">
        <f t="shared" si="38"/>
        <v>3</v>
      </c>
      <c r="U622" t="str">
        <f t="shared" si="39"/>
        <v>Thursday</v>
      </c>
    </row>
    <row r="623" spans="1:21" x14ac:dyDescent="0.2">
      <c r="A623" t="s">
        <v>661</v>
      </c>
      <c r="B623" t="s">
        <v>22</v>
      </c>
      <c r="C623" t="s">
        <v>23</v>
      </c>
      <c r="D623" t="s">
        <v>24</v>
      </c>
      <c r="E623" t="s">
        <v>25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33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3">
        <f t="shared" si="36"/>
        <v>91.61</v>
      </c>
      <c r="S623" t="str">
        <f t="shared" si="37"/>
        <v>March</v>
      </c>
      <c r="T623">
        <f t="shared" si="38"/>
        <v>3</v>
      </c>
      <c r="U623" t="str">
        <f t="shared" si="39"/>
        <v>Wednesday</v>
      </c>
    </row>
    <row r="624" spans="1:21" x14ac:dyDescent="0.2">
      <c r="A624" t="s">
        <v>662</v>
      </c>
      <c r="B624" t="s">
        <v>45</v>
      </c>
      <c r="C624" t="s">
        <v>46</v>
      </c>
      <c r="D624" t="s">
        <v>24</v>
      </c>
      <c r="E624" t="s">
        <v>25</v>
      </c>
      <c r="F624" t="s">
        <v>35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3">
        <f t="shared" si="36"/>
        <v>662.13</v>
      </c>
      <c r="S624" t="str">
        <f t="shared" si="37"/>
        <v>January</v>
      </c>
      <c r="T624">
        <f t="shared" si="38"/>
        <v>1</v>
      </c>
      <c r="U624" t="str">
        <f t="shared" si="39"/>
        <v>Thursday</v>
      </c>
    </row>
    <row r="625" spans="1:21" x14ac:dyDescent="0.2">
      <c r="A625" t="s">
        <v>663</v>
      </c>
      <c r="B625" t="s">
        <v>45</v>
      </c>
      <c r="C625" t="s">
        <v>46</v>
      </c>
      <c r="D625" t="s">
        <v>31</v>
      </c>
      <c r="E625" t="s">
        <v>25</v>
      </c>
      <c r="F625" t="s">
        <v>49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  <c r="R625" s="3">
        <f t="shared" si="36"/>
        <v>832.5</v>
      </c>
      <c r="S625" t="str">
        <f t="shared" si="37"/>
        <v>December</v>
      </c>
      <c r="T625">
        <f t="shared" si="38"/>
        <v>12</v>
      </c>
      <c r="U625" t="str">
        <f t="shared" si="39"/>
        <v>Sunday</v>
      </c>
    </row>
    <row r="626" spans="1:21" x14ac:dyDescent="0.2">
      <c r="A626" t="s">
        <v>664</v>
      </c>
      <c r="B626" t="s">
        <v>45</v>
      </c>
      <c r="C626" t="s">
        <v>46</v>
      </c>
      <c r="D626" t="s">
        <v>24</v>
      </c>
      <c r="E626" t="s">
        <v>181</v>
      </c>
      <c r="F626" t="s">
        <v>49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33</v>
      </c>
      <c r="N626">
        <v>91.35</v>
      </c>
      <c r="O626">
        <v>4.7619047620000003</v>
      </c>
      <c r="P626">
        <v>4.5674999999999999</v>
      </c>
      <c r="Q626">
        <v>6.8</v>
      </c>
      <c r="R626" s="3">
        <f t="shared" si="36"/>
        <v>91.35</v>
      </c>
      <c r="S626" t="str">
        <f t="shared" si="37"/>
        <v>February</v>
      </c>
      <c r="T626">
        <f t="shared" si="38"/>
        <v>2</v>
      </c>
      <c r="U626" t="str">
        <f t="shared" si="39"/>
        <v>Saturday</v>
      </c>
    </row>
    <row r="627" spans="1:21" x14ac:dyDescent="0.2">
      <c r="A627" t="s">
        <v>665</v>
      </c>
      <c r="B627" t="s">
        <v>45</v>
      </c>
      <c r="C627" t="s">
        <v>46</v>
      </c>
      <c r="D627" t="s">
        <v>24</v>
      </c>
      <c r="E627" t="s">
        <v>25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33</v>
      </c>
      <c r="N627">
        <v>157.76</v>
      </c>
      <c r="O627">
        <v>4.7619047620000003</v>
      </c>
      <c r="P627">
        <v>7.8879999999999999</v>
      </c>
      <c r="Q627">
        <v>9.1</v>
      </c>
      <c r="R627" s="3">
        <f t="shared" si="36"/>
        <v>157.76</v>
      </c>
      <c r="S627" t="str">
        <f t="shared" si="37"/>
        <v>January</v>
      </c>
      <c r="T627">
        <f t="shared" si="38"/>
        <v>1</v>
      </c>
      <c r="U627" t="str">
        <f t="shared" si="39"/>
        <v>Saturday</v>
      </c>
    </row>
    <row r="628" spans="1:21" x14ac:dyDescent="0.2">
      <c r="A628" t="s">
        <v>666</v>
      </c>
      <c r="B628" t="s">
        <v>22</v>
      </c>
      <c r="C628" t="s">
        <v>23</v>
      </c>
      <c r="D628" t="s">
        <v>31</v>
      </c>
      <c r="E628" t="s">
        <v>181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27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3">
        <f t="shared" si="36"/>
        <v>121.74</v>
      </c>
      <c r="S628" t="str">
        <f t="shared" si="37"/>
        <v>September</v>
      </c>
      <c r="T628">
        <f t="shared" si="38"/>
        <v>9</v>
      </c>
      <c r="U628" t="str">
        <f t="shared" si="39"/>
        <v>Tuesday</v>
      </c>
    </row>
    <row r="629" spans="1:21" x14ac:dyDescent="0.2">
      <c r="A629" t="s">
        <v>667</v>
      </c>
      <c r="B629" t="s">
        <v>45</v>
      </c>
      <c r="C629" t="s">
        <v>46</v>
      </c>
      <c r="D629" t="s">
        <v>24</v>
      </c>
      <c r="E629" t="s">
        <v>181</v>
      </c>
      <c r="F629" t="s">
        <v>26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33</v>
      </c>
      <c r="N629">
        <v>825.8</v>
      </c>
      <c r="O629">
        <v>4.7619047620000003</v>
      </c>
      <c r="P629">
        <v>41.29</v>
      </c>
      <c r="Q629">
        <v>5</v>
      </c>
      <c r="R629" s="3">
        <f t="shared" si="36"/>
        <v>825.8</v>
      </c>
      <c r="S629" t="str">
        <f t="shared" si="37"/>
        <v>March</v>
      </c>
      <c r="T629">
        <f t="shared" si="38"/>
        <v>3</v>
      </c>
      <c r="U629" t="str">
        <f t="shared" si="39"/>
        <v>Thursday</v>
      </c>
    </row>
    <row r="630" spans="1:21" x14ac:dyDescent="0.2">
      <c r="A630" t="s">
        <v>668</v>
      </c>
      <c r="B630" t="s">
        <v>22</v>
      </c>
      <c r="C630" t="s">
        <v>23</v>
      </c>
      <c r="D630" t="s">
        <v>24</v>
      </c>
      <c r="E630" t="s">
        <v>181</v>
      </c>
      <c r="F630" t="s">
        <v>35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27</v>
      </c>
      <c r="N630">
        <v>159.9</v>
      </c>
      <c r="O630">
        <v>4.7619047620000003</v>
      </c>
      <c r="P630">
        <v>7.9950000000000001</v>
      </c>
      <c r="Q630">
        <v>7.5</v>
      </c>
      <c r="R630" s="3">
        <f t="shared" si="36"/>
        <v>159.89999999999998</v>
      </c>
      <c r="S630" t="str">
        <f t="shared" si="37"/>
        <v>January</v>
      </c>
      <c r="T630">
        <f t="shared" si="38"/>
        <v>1</v>
      </c>
      <c r="U630" t="str">
        <f t="shared" si="39"/>
        <v>Friday</v>
      </c>
    </row>
    <row r="631" spans="1:21" x14ac:dyDescent="0.2">
      <c r="A631" t="s">
        <v>669</v>
      </c>
      <c r="B631" t="s">
        <v>22</v>
      </c>
      <c r="C631" t="s">
        <v>23</v>
      </c>
      <c r="D631" t="s">
        <v>31</v>
      </c>
      <c r="E631" t="s">
        <v>25</v>
      </c>
      <c r="F631" t="s">
        <v>49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3">
        <f t="shared" si="36"/>
        <v>12.09</v>
      </c>
      <c r="S631" t="str">
        <f t="shared" si="37"/>
        <v>January</v>
      </c>
      <c r="T631">
        <f t="shared" si="38"/>
        <v>1</v>
      </c>
      <c r="U631" t="str">
        <f t="shared" si="39"/>
        <v>Saturday</v>
      </c>
    </row>
    <row r="632" spans="1:21" x14ac:dyDescent="0.2">
      <c r="A632" t="s">
        <v>670</v>
      </c>
      <c r="B632" t="s">
        <v>22</v>
      </c>
      <c r="C632" t="s">
        <v>23</v>
      </c>
      <c r="D632" t="s">
        <v>31</v>
      </c>
      <c r="E632" t="s">
        <v>181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  <c r="R632" s="3">
        <f t="shared" si="36"/>
        <v>641.9</v>
      </c>
      <c r="S632" t="str">
        <f t="shared" si="37"/>
        <v>January</v>
      </c>
      <c r="T632">
        <f t="shared" si="38"/>
        <v>1</v>
      </c>
      <c r="U632" t="str">
        <f t="shared" si="39"/>
        <v>Saturday</v>
      </c>
    </row>
    <row r="633" spans="1:21" x14ac:dyDescent="0.2">
      <c r="A633" t="s">
        <v>671</v>
      </c>
      <c r="B633" t="s">
        <v>22</v>
      </c>
      <c r="C633" t="s">
        <v>23</v>
      </c>
      <c r="D633" t="s">
        <v>31</v>
      </c>
      <c r="E633" t="s">
        <v>181</v>
      </c>
      <c r="F633" t="s">
        <v>32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27</v>
      </c>
      <c r="N633">
        <v>234.93</v>
      </c>
      <c r="O633">
        <v>4.7619047620000003</v>
      </c>
      <c r="P633">
        <v>11.746499999999999</v>
      </c>
      <c r="Q633">
        <v>5.4</v>
      </c>
      <c r="R633" s="3">
        <f t="shared" si="36"/>
        <v>234.93</v>
      </c>
      <c r="S633" t="str">
        <f t="shared" si="37"/>
        <v>May</v>
      </c>
      <c r="T633">
        <f t="shared" si="38"/>
        <v>5</v>
      </c>
      <c r="U633" t="str">
        <f t="shared" si="39"/>
        <v>Friday</v>
      </c>
    </row>
    <row r="634" spans="1:21" x14ac:dyDescent="0.2">
      <c r="A634" t="s">
        <v>672</v>
      </c>
      <c r="B634" t="s">
        <v>22</v>
      </c>
      <c r="C634" t="s">
        <v>23</v>
      </c>
      <c r="D634" t="s">
        <v>24</v>
      </c>
      <c r="E634" t="s">
        <v>181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  <c r="R634" s="3">
        <f t="shared" si="36"/>
        <v>167.54</v>
      </c>
      <c r="S634" t="str">
        <f t="shared" si="37"/>
        <v>January</v>
      </c>
      <c r="T634">
        <f t="shared" si="38"/>
        <v>1</v>
      </c>
      <c r="U634" t="str">
        <f t="shared" si="39"/>
        <v>Tuesday</v>
      </c>
    </row>
    <row r="635" spans="1:21" x14ac:dyDescent="0.2">
      <c r="A635" t="s">
        <v>673</v>
      </c>
      <c r="B635" t="s">
        <v>45</v>
      </c>
      <c r="C635" t="s">
        <v>46</v>
      </c>
      <c r="D635" t="s">
        <v>31</v>
      </c>
      <c r="E635" t="s">
        <v>181</v>
      </c>
      <c r="F635" t="s">
        <v>35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27</v>
      </c>
      <c r="N635">
        <v>299.10000000000002</v>
      </c>
      <c r="O635">
        <v>4.7619047620000003</v>
      </c>
      <c r="P635">
        <v>14.955</v>
      </c>
      <c r="Q635">
        <v>4.7</v>
      </c>
      <c r="R635" s="3">
        <f t="shared" si="36"/>
        <v>299.10000000000002</v>
      </c>
      <c r="S635" t="str">
        <f t="shared" si="37"/>
        <v>March</v>
      </c>
      <c r="T635">
        <f t="shared" si="38"/>
        <v>3</v>
      </c>
      <c r="U635" t="str">
        <f t="shared" si="39"/>
        <v>Monday</v>
      </c>
    </row>
    <row r="636" spans="1:21" x14ac:dyDescent="0.2">
      <c r="A636" t="s">
        <v>674</v>
      </c>
      <c r="B636" t="s">
        <v>45</v>
      </c>
      <c r="C636" t="s">
        <v>46</v>
      </c>
      <c r="D636" t="s">
        <v>24</v>
      </c>
      <c r="E636" t="s">
        <v>181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  <c r="R636" s="3">
        <f t="shared" si="36"/>
        <v>239.73</v>
      </c>
      <c r="S636" t="str">
        <f t="shared" si="37"/>
        <v>March</v>
      </c>
      <c r="T636">
        <f t="shared" si="38"/>
        <v>3</v>
      </c>
      <c r="U636" t="str">
        <f t="shared" si="39"/>
        <v>Wednesday</v>
      </c>
    </row>
    <row r="637" spans="1:21" x14ac:dyDescent="0.2">
      <c r="A637" t="s">
        <v>675</v>
      </c>
      <c r="B637" t="s">
        <v>45</v>
      </c>
      <c r="C637" t="s">
        <v>46</v>
      </c>
      <c r="D637" t="s">
        <v>24</v>
      </c>
      <c r="E637" t="s">
        <v>181</v>
      </c>
      <c r="F637" t="s">
        <v>26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  <c r="R637" s="3">
        <f t="shared" si="36"/>
        <v>664.7</v>
      </c>
      <c r="S637" t="str">
        <f t="shared" si="37"/>
        <v>January</v>
      </c>
      <c r="T637">
        <f t="shared" si="38"/>
        <v>1</v>
      </c>
      <c r="U637" t="str">
        <f t="shared" si="39"/>
        <v>Tuesday</v>
      </c>
    </row>
    <row r="638" spans="1:21" x14ac:dyDescent="0.2">
      <c r="A638" t="s">
        <v>676</v>
      </c>
      <c r="B638" t="s">
        <v>22</v>
      </c>
      <c r="C638" t="s">
        <v>23</v>
      </c>
      <c r="D638" t="s">
        <v>31</v>
      </c>
      <c r="E638" t="s">
        <v>181</v>
      </c>
      <c r="F638" t="s">
        <v>26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  <c r="R638" s="3">
        <f t="shared" si="36"/>
        <v>202.65</v>
      </c>
      <c r="S638" t="str">
        <f t="shared" si="37"/>
        <v>March</v>
      </c>
      <c r="T638">
        <f t="shared" si="38"/>
        <v>3</v>
      </c>
      <c r="U638" t="str">
        <f t="shared" si="39"/>
        <v>Sunday</v>
      </c>
    </row>
    <row r="639" spans="1:21" x14ac:dyDescent="0.2">
      <c r="A639" t="s">
        <v>677</v>
      </c>
      <c r="B639" t="s">
        <v>29</v>
      </c>
      <c r="C639" t="s">
        <v>30</v>
      </c>
      <c r="D639" t="s">
        <v>31</v>
      </c>
      <c r="E639" t="s">
        <v>25</v>
      </c>
      <c r="F639" t="s">
        <v>32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33</v>
      </c>
      <c r="N639">
        <v>46.2</v>
      </c>
      <c r="O639">
        <v>4.7619047620000003</v>
      </c>
      <c r="P639">
        <v>2.31</v>
      </c>
      <c r="Q639">
        <v>6.3</v>
      </c>
      <c r="R639" s="3">
        <f t="shared" si="36"/>
        <v>46.2</v>
      </c>
      <c r="S639" t="str">
        <f t="shared" si="37"/>
        <v>March</v>
      </c>
      <c r="T639">
        <f t="shared" si="38"/>
        <v>3</v>
      </c>
      <c r="U639" t="str">
        <f t="shared" si="39"/>
        <v>Tuesday</v>
      </c>
    </row>
    <row r="640" spans="1:21" x14ac:dyDescent="0.2">
      <c r="A640" t="s">
        <v>678</v>
      </c>
      <c r="B640" t="s">
        <v>45</v>
      </c>
      <c r="C640" t="s">
        <v>46</v>
      </c>
      <c r="D640" t="s">
        <v>24</v>
      </c>
      <c r="E640" t="s">
        <v>25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33</v>
      </c>
      <c r="N640">
        <v>88.15</v>
      </c>
      <c r="O640">
        <v>4.7619047620000003</v>
      </c>
      <c r="P640">
        <v>4.4074999999999998</v>
      </c>
      <c r="Q640">
        <v>8.5</v>
      </c>
      <c r="R640" s="3">
        <f t="shared" si="36"/>
        <v>88.149999999999991</v>
      </c>
      <c r="S640" t="str">
        <f t="shared" si="37"/>
        <v>August</v>
      </c>
      <c r="T640">
        <f t="shared" si="38"/>
        <v>8</v>
      </c>
      <c r="U640" t="str">
        <f t="shared" si="39"/>
        <v>Saturday</v>
      </c>
    </row>
    <row r="641" spans="1:21" x14ac:dyDescent="0.2">
      <c r="A641" t="s">
        <v>679</v>
      </c>
      <c r="B641" t="s">
        <v>45</v>
      </c>
      <c r="C641" t="s">
        <v>46</v>
      </c>
      <c r="D641" t="s">
        <v>31</v>
      </c>
      <c r="E641" t="s">
        <v>181</v>
      </c>
      <c r="F641" t="s">
        <v>49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27</v>
      </c>
      <c r="N641">
        <v>157.26</v>
      </c>
      <c r="O641">
        <v>4.7619047620000003</v>
      </c>
      <c r="P641">
        <v>7.8630000000000004</v>
      </c>
      <c r="Q641">
        <v>7.5</v>
      </c>
      <c r="R641" s="3">
        <f t="shared" si="36"/>
        <v>157.26</v>
      </c>
      <c r="S641" t="str">
        <f t="shared" si="37"/>
        <v>February</v>
      </c>
      <c r="T641">
        <f t="shared" si="38"/>
        <v>2</v>
      </c>
      <c r="U641" t="str">
        <f t="shared" si="39"/>
        <v>Wednesday</v>
      </c>
    </row>
    <row r="642" spans="1:21" x14ac:dyDescent="0.2">
      <c r="A642" t="s">
        <v>680</v>
      </c>
      <c r="B642" t="s">
        <v>45</v>
      </c>
      <c r="C642" t="s">
        <v>46</v>
      </c>
      <c r="D642" t="s">
        <v>24</v>
      </c>
      <c r="E642" t="s">
        <v>25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27</v>
      </c>
      <c r="N642">
        <v>296.37</v>
      </c>
      <c r="O642">
        <v>4.7619047620000003</v>
      </c>
      <c r="P642">
        <v>14.8185</v>
      </c>
      <c r="Q642">
        <v>6.4</v>
      </c>
      <c r="R642" s="3">
        <f t="shared" si="36"/>
        <v>296.37</v>
      </c>
      <c r="S642" t="str">
        <f t="shared" si="37"/>
        <v>February</v>
      </c>
      <c r="T642">
        <f t="shared" si="38"/>
        <v>2</v>
      </c>
      <c r="U642" t="str">
        <f t="shared" si="39"/>
        <v>Saturday</v>
      </c>
    </row>
    <row r="643" spans="1:21" x14ac:dyDescent="0.2">
      <c r="A643" t="s">
        <v>681</v>
      </c>
      <c r="B643" t="s">
        <v>29</v>
      </c>
      <c r="C643" t="s">
        <v>30</v>
      </c>
      <c r="D643" t="s">
        <v>24</v>
      </c>
      <c r="E643" t="s">
        <v>25</v>
      </c>
      <c r="F643" t="s">
        <v>32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27</v>
      </c>
      <c r="N643">
        <v>708.4</v>
      </c>
      <c r="O643">
        <v>4.7619047620000003</v>
      </c>
      <c r="P643">
        <v>35.42</v>
      </c>
      <c r="Q643">
        <v>4.7</v>
      </c>
      <c r="R643" s="3">
        <f t="shared" ref="R643:R706" si="40">H643*G643</f>
        <v>708.4</v>
      </c>
      <c r="S643" t="str">
        <f t="shared" ref="S643:S706" si="41">TEXT(K643,"mmmm")</f>
        <v>March</v>
      </c>
      <c r="T643">
        <f t="shared" ref="T643:T706" si="42">MONTH(K643)</f>
        <v>3</v>
      </c>
      <c r="U643" t="str">
        <f t="shared" ref="U643:U706" si="43">TEXT(K643,"dddd")</f>
        <v>Tuesday</v>
      </c>
    </row>
    <row r="644" spans="1:21" x14ac:dyDescent="0.2">
      <c r="A644" t="s">
        <v>682</v>
      </c>
      <c r="B644" t="s">
        <v>45</v>
      </c>
      <c r="C644" t="s">
        <v>46</v>
      </c>
      <c r="D644" t="s">
        <v>24</v>
      </c>
      <c r="E644" t="s">
        <v>181</v>
      </c>
      <c r="F644" t="s">
        <v>32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27</v>
      </c>
      <c r="N644">
        <v>111.34</v>
      </c>
      <c r="O644">
        <v>4.7619047620000003</v>
      </c>
      <c r="P644">
        <v>5.5670000000000002</v>
      </c>
      <c r="Q644">
        <v>6</v>
      </c>
      <c r="R644" s="3">
        <f t="shared" si="40"/>
        <v>111.34</v>
      </c>
      <c r="S644" t="str">
        <f t="shared" si="41"/>
        <v>March</v>
      </c>
      <c r="T644">
        <f t="shared" si="42"/>
        <v>3</v>
      </c>
      <c r="U644" t="str">
        <f t="shared" si="43"/>
        <v>Wednesday</v>
      </c>
    </row>
    <row r="645" spans="1:21" x14ac:dyDescent="0.2">
      <c r="A645" t="s">
        <v>683</v>
      </c>
      <c r="B645" t="s">
        <v>29</v>
      </c>
      <c r="C645" t="s">
        <v>30</v>
      </c>
      <c r="D645" t="s">
        <v>24</v>
      </c>
      <c r="E645" t="s">
        <v>25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  <c r="R645" s="3">
        <f t="shared" si="40"/>
        <v>580.16</v>
      </c>
      <c r="S645" t="str">
        <f t="shared" si="41"/>
        <v>March</v>
      </c>
      <c r="T645">
        <f t="shared" si="42"/>
        <v>3</v>
      </c>
      <c r="U645" t="str">
        <f t="shared" si="43"/>
        <v>Saturday</v>
      </c>
    </row>
    <row r="646" spans="1:21" x14ac:dyDescent="0.2">
      <c r="A646" t="s">
        <v>684</v>
      </c>
      <c r="B646" t="s">
        <v>29</v>
      </c>
      <c r="C646" t="s">
        <v>30</v>
      </c>
      <c r="D646" t="s">
        <v>24</v>
      </c>
      <c r="E646" t="s">
        <v>181</v>
      </c>
      <c r="F646" t="s">
        <v>32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27</v>
      </c>
      <c r="N646">
        <v>60.25</v>
      </c>
      <c r="O646">
        <v>4.7619047620000003</v>
      </c>
      <c r="P646">
        <v>3.0125000000000002</v>
      </c>
      <c r="Q646">
        <v>5.5</v>
      </c>
      <c r="R646" s="3">
        <f t="shared" si="40"/>
        <v>60.25</v>
      </c>
      <c r="S646" t="str">
        <f t="shared" si="41"/>
        <v>February</v>
      </c>
      <c r="T646">
        <f t="shared" si="42"/>
        <v>2</v>
      </c>
      <c r="U646" t="str">
        <f t="shared" si="43"/>
        <v>Saturday</v>
      </c>
    </row>
    <row r="647" spans="1:21" x14ac:dyDescent="0.2">
      <c r="A647" t="s">
        <v>685</v>
      </c>
      <c r="B647" t="s">
        <v>22</v>
      </c>
      <c r="C647" t="s">
        <v>23</v>
      </c>
      <c r="D647" t="s">
        <v>24</v>
      </c>
      <c r="E647" t="s">
        <v>181</v>
      </c>
      <c r="F647" t="s">
        <v>35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27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3">
        <f t="shared" si="40"/>
        <v>174.24</v>
      </c>
      <c r="S647" t="str">
        <f t="shared" si="41"/>
        <v>January</v>
      </c>
      <c r="T647">
        <f t="shared" si="42"/>
        <v>1</v>
      </c>
      <c r="U647" t="str">
        <f t="shared" si="43"/>
        <v>Friday</v>
      </c>
    </row>
    <row r="648" spans="1:21" x14ac:dyDescent="0.2">
      <c r="A648" t="s">
        <v>686</v>
      </c>
      <c r="B648" t="s">
        <v>29</v>
      </c>
      <c r="C648" t="s">
        <v>30</v>
      </c>
      <c r="D648" t="s">
        <v>31</v>
      </c>
      <c r="E648" t="s">
        <v>181</v>
      </c>
      <c r="F648" t="s">
        <v>26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33</v>
      </c>
      <c r="N648">
        <v>421.26</v>
      </c>
      <c r="O648">
        <v>4.7619047620000003</v>
      </c>
      <c r="P648">
        <v>21.062999999999999</v>
      </c>
      <c r="Q648">
        <v>7.4</v>
      </c>
      <c r="R648" s="3">
        <f t="shared" si="40"/>
        <v>421.26</v>
      </c>
      <c r="S648" t="str">
        <f t="shared" si="41"/>
        <v>March</v>
      </c>
      <c r="T648">
        <f t="shared" si="42"/>
        <v>3</v>
      </c>
      <c r="U648" t="str">
        <f t="shared" si="43"/>
        <v>Saturday</v>
      </c>
    </row>
    <row r="649" spans="1:21" x14ac:dyDescent="0.2">
      <c r="A649" t="s">
        <v>687</v>
      </c>
      <c r="B649" t="s">
        <v>45</v>
      </c>
      <c r="C649" t="s">
        <v>46</v>
      </c>
      <c r="D649" t="s">
        <v>24</v>
      </c>
      <c r="E649" t="s">
        <v>181</v>
      </c>
      <c r="F649" t="s">
        <v>49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33</v>
      </c>
      <c r="N649">
        <v>33.630000000000003</v>
      </c>
      <c r="O649">
        <v>4.7619047620000003</v>
      </c>
      <c r="P649">
        <v>1.6815</v>
      </c>
      <c r="Q649">
        <v>5.6</v>
      </c>
      <c r="R649" s="3">
        <f t="shared" si="40"/>
        <v>33.630000000000003</v>
      </c>
      <c r="S649" t="str">
        <f t="shared" si="41"/>
        <v>March</v>
      </c>
      <c r="T649">
        <f t="shared" si="42"/>
        <v>3</v>
      </c>
      <c r="U649" t="str">
        <f t="shared" si="43"/>
        <v>Wednesday</v>
      </c>
    </row>
    <row r="650" spans="1:21" x14ac:dyDescent="0.2">
      <c r="A650" t="s">
        <v>688</v>
      </c>
      <c r="B650" t="s">
        <v>29</v>
      </c>
      <c r="C650" t="s">
        <v>30</v>
      </c>
      <c r="D650" t="s">
        <v>24</v>
      </c>
      <c r="E650" t="s">
        <v>25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33</v>
      </c>
      <c r="N650">
        <v>30.98</v>
      </c>
      <c r="O650">
        <v>4.7619047620000003</v>
      </c>
      <c r="P650">
        <v>1.5489999999999999</v>
      </c>
      <c r="Q650">
        <v>6.3</v>
      </c>
      <c r="R650" s="3">
        <f t="shared" si="40"/>
        <v>30.98</v>
      </c>
      <c r="S650" t="str">
        <f t="shared" si="41"/>
        <v>January</v>
      </c>
      <c r="T650">
        <f t="shared" si="42"/>
        <v>1</v>
      </c>
      <c r="U650" t="str">
        <f t="shared" si="43"/>
        <v>Wednesday</v>
      </c>
    </row>
    <row r="651" spans="1:21" x14ac:dyDescent="0.2">
      <c r="A651" t="s">
        <v>689</v>
      </c>
      <c r="B651" t="s">
        <v>29</v>
      </c>
      <c r="C651" t="s">
        <v>30</v>
      </c>
      <c r="D651" t="s">
        <v>31</v>
      </c>
      <c r="E651" t="s">
        <v>181</v>
      </c>
      <c r="F651" t="s">
        <v>32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33</v>
      </c>
      <c r="N651">
        <v>247.4</v>
      </c>
      <c r="O651">
        <v>4.7619047620000003</v>
      </c>
      <c r="P651">
        <v>12.37</v>
      </c>
      <c r="Q651">
        <v>7.1</v>
      </c>
      <c r="R651" s="3">
        <f t="shared" si="40"/>
        <v>247.39999999999998</v>
      </c>
      <c r="S651" t="str">
        <f t="shared" si="41"/>
        <v>February</v>
      </c>
      <c r="T651">
        <f t="shared" si="42"/>
        <v>2</v>
      </c>
      <c r="U651" t="str">
        <f t="shared" si="43"/>
        <v>Sunday</v>
      </c>
    </row>
    <row r="652" spans="1:21" x14ac:dyDescent="0.2">
      <c r="A652" t="s">
        <v>690</v>
      </c>
      <c r="B652" t="s">
        <v>45</v>
      </c>
      <c r="C652" t="s">
        <v>46</v>
      </c>
      <c r="D652" t="s">
        <v>31</v>
      </c>
      <c r="E652" t="s">
        <v>181</v>
      </c>
      <c r="F652" t="s">
        <v>32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27</v>
      </c>
      <c r="N652">
        <v>378.3</v>
      </c>
      <c r="O652">
        <v>4.7619047620000003</v>
      </c>
      <c r="P652">
        <v>18.914999999999999</v>
      </c>
      <c r="Q652">
        <v>7.8</v>
      </c>
      <c r="R652" s="3">
        <f t="shared" si="40"/>
        <v>378.29999999999995</v>
      </c>
      <c r="S652" t="str">
        <f t="shared" si="41"/>
        <v>January</v>
      </c>
      <c r="T652">
        <f t="shared" si="42"/>
        <v>1</v>
      </c>
      <c r="U652" t="str">
        <f t="shared" si="43"/>
        <v>Tuesday</v>
      </c>
    </row>
    <row r="653" spans="1:21" x14ac:dyDescent="0.2">
      <c r="A653" t="s">
        <v>691</v>
      </c>
      <c r="B653" t="s">
        <v>45</v>
      </c>
      <c r="C653" t="s">
        <v>46</v>
      </c>
      <c r="D653" t="s">
        <v>31</v>
      </c>
      <c r="E653" t="s">
        <v>25</v>
      </c>
      <c r="F653" t="s">
        <v>26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33</v>
      </c>
      <c r="N653">
        <v>334.86</v>
      </c>
      <c r="O653">
        <v>4.7619047620000003</v>
      </c>
      <c r="P653">
        <v>16.742999999999999</v>
      </c>
      <c r="Q653">
        <v>9.9</v>
      </c>
      <c r="R653" s="3">
        <f t="shared" si="40"/>
        <v>334.86</v>
      </c>
      <c r="S653" t="str">
        <f t="shared" si="41"/>
        <v>January</v>
      </c>
      <c r="T653">
        <f t="shared" si="42"/>
        <v>1</v>
      </c>
      <c r="U653" t="str">
        <f t="shared" si="43"/>
        <v>Tuesday</v>
      </c>
    </row>
    <row r="654" spans="1:21" x14ac:dyDescent="0.2">
      <c r="A654" t="s">
        <v>692</v>
      </c>
      <c r="B654" t="s">
        <v>22</v>
      </c>
      <c r="C654" t="s">
        <v>23</v>
      </c>
      <c r="D654" t="s">
        <v>24</v>
      </c>
      <c r="E654" t="s">
        <v>181</v>
      </c>
      <c r="F654" t="s">
        <v>35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33</v>
      </c>
      <c r="N654">
        <v>727.8</v>
      </c>
      <c r="O654">
        <v>4.7619047620000003</v>
      </c>
      <c r="P654">
        <v>36.39</v>
      </c>
      <c r="Q654">
        <v>7.3</v>
      </c>
      <c r="R654" s="3">
        <f t="shared" si="40"/>
        <v>727.8</v>
      </c>
      <c r="S654" t="str">
        <f t="shared" si="41"/>
        <v>March</v>
      </c>
      <c r="T654">
        <f t="shared" si="42"/>
        <v>3</v>
      </c>
      <c r="U654" t="str">
        <f t="shared" si="43"/>
        <v>Saturday</v>
      </c>
    </row>
    <row r="655" spans="1:21" x14ac:dyDescent="0.2">
      <c r="A655" t="s">
        <v>693</v>
      </c>
      <c r="B655" t="s">
        <v>45</v>
      </c>
      <c r="C655" t="s">
        <v>46</v>
      </c>
      <c r="D655" t="s">
        <v>24</v>
      </c>
      <c r="E655" t="s">
        <v>181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27</v>
      </c>
      <c r="N655">
        <v>335.88</v>
      </c>
      <c r="O655">
        <v>4.7619047620000003</v>
      </c>
      <c r="P655">
        <v>16.794</v>
      </c>
      <c r="Q655">
        <v>5.0999999999999996</v>
      </c>
      <c r="R655" s="3">
        <f t="shared" si="40"/>
        <v>335.88</v>
      </c>
      <c r="S655" t="str">
        <f t="shared" si="41"/>
        <v>June</v>
      </c>
      <c r="T655">
        <f t="shared" si="42"/>
        <v>6</v>
      </c>
      <c r="U655" t="str">
        <f t="shared" si="43"/>
        <v>Monday</v>
      </c>
    </row>
    <row r="656" spans="1:21" x14ac:dyDescent="0.2">
      <c r="A656" t="s">
        <v>694</v>
      </c>
      <c r="B656" t="s">
        <v>45</v>
      </c>
      <c r="C656" t="s">
        <v>46</v>
      </c>
      <c r="D656" t="s">
        <v>24</v>
      </c>
      <c r="E656" t="s">
        <v>181</v>
      </c>
      <c r="F656" t="s">
        <v>49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  <c r="R656" s="3">
        <f t="shared" si="40"/>
        <v>240.72</v>
      </c>
      <c r="S656" t="str">
        <f t="shared" si="41"/>
        <v>February</v>
      </c>
      <c r="T656">
        <f t="shared" si="42"/>
        <v>2</v>
      </c>
      <c r="U656" t="str">
        <f t="shared" si="43"/>
        <v>Saturday</v>
      </c>
    </row>
    <row r="657" spans="1:21" x14ac:dyDescent="0.2">
      <c r="A657" t="s">
        <v>695</v>
      </c>
      <c r="B657" t="s">
        <v>22</v>
      </c>
      <c r="C657" t="s">
        <v>23</v>
      </c>
      <c r="D657" t="s">
        <v>31</v>
      </c>
      <c r="E657" t="s">
        <v>25</v>
      </c>
      <c r="F657" t="s">
        <v>32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  <c r="R657" s="3">
        <f t="shared" si="40"/>
        <v>47.07</v>
      </c>
      <c r="S657" t="str">
        <f t="shared" si="41"/>
        <v>March</v>
      </c>
      <c r="T657">
        <f t="shared" si="42"/>
        <v>3</v>
      </c>
      <c r="U657" t="str">
        <f t="shared" si="43"/>
        <v>Thursday</v>
      </c>
    </row>
    <row r="658" spans="1:21" x14ac:dyDescent="0.2">
      <c r="A658" t="s">
        <v>696</v>
      </c>
      <c r="B658" t="s">
        <v>29</v>
      </c>
      <c r="C658" t="s">
        <v>30</v>
      </c>
      <c r="D658" t="s">
        <v>31</v>
      </c>
      <c r="E658" t="s">
        <v>25</v>
      </c>
      <c r="F658" t="s">
        <v>32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  <c r="R658" s="3">
        <f t="shared" si="40"/>
        <v>99.69</v>
      </c>
      <c r="S658" t="str">
        <f t="shared" si="41"/>
        <v>February</v>
      </c>
      <c r="T658">
        <f t="shared" si="42"/>
        <v>2</v>
      </c>
      <c r="U658" t="str">
        <f t="shared" si="43"/>
        <v>Wednesday</v>
      </c>
    </row>
    <row r="659" spans="1:21" x14ac:dyDescent="0.2">
      <c r="A659" t="s">
        <v>697</v>
      </c>
      <c r="B659" t="s">
        <v>22</v>
      </c>
      <c r="C659" t="s">
        <v>23</v>
      </c>
      <c r="D659" t="s">
        <v>24</v>
      </c>
      <c r="E659" t="s">
        <v>25</v>
      </c>
      <c r="F659" t="s">
        <v>49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27</v>
      </c>
      <c r="N659">
        <v>264.45</v>
      </c>
      <c r="O659">
        <v>4.7619047620000003</v>
      </c>
      <c r="P659">
        <v>13.2225</v>
      </c>
      <c r="Q659">
        <v>7.9</v>
      </c>
      <c r="R659" s="3">
        <f t="shared" si="40"/>
        <v>264.45000000000005</v>
      </c>
      <c r="S659" t="str">
        <f t="shared" si="41"/>
        <v>January</v>
      </c>
      <c r="T659">
        <f t="shared" si="42"/>
        <v>1</v>
      </c>
      <c r="U659" t="str">
        <f t="shared" si="43"/>
        <v>Friday</v>
      </c>
    </row>
    <row r="660" spans="1:21" x14ac:dyDescent="0.2">
      <c r="A660" t="s">
        <v>698</v>
      </c>
      <c r="B660" t="s">
        <v>22</v>
      </c>
      <c r="C660" t="s">
        <v>23</v>
      </c>
      <c r="D660" t="s">
        <v>24</v>
      </c>
      <c r="E660" t="s">
        <v>25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33</v>
      </c>
      <c r="N660">
        <v>139.65</v>
      </c>
      <c r="O660">
        <v>4.7619047620000003</v>
      </c>
      <c r="P660">
        <v>6.9824999999999999</v>
      </c>
      <c r="Q660">
        <v>5.9</v>
      </c>
      <c r="R660" s="3">
        <f t="shared" si="40"/>
        <v>139.65</v>
      </c>
      <c r="S660" t="str">
        <f t="shared" si="41"/>
        <v>January</v>
      </c>
      <c r="T660">
        <f t="shared" si="42"/>
        <v>1</v>
      </c>
      <c r="U660" t="str">
        <f t="shared" si="43"/>
        <v>Tuesday</v>
      </c>
    </row>
    <row r="661" spans="1:21" x14ac:dyDescent="0.2">
      <c r="A661" t="s">
        <v>699</v>
      </c>
      <c r="B661" t="s">
        <v>22</v>
      </c>
      <c r="C661" t="s">
        <v>23</v>
      </c>
      <c r="D661" t="s">
        <v>24</v>
      </c>
      <c r="E661" t="s">
        <v>181</v>
      </c>
      <c r="F661" t="s">
        <v>49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  <c r="R661" s="3">
        <f t="shared" si="40"/>
        <v>55.45</v>
      </c>
      <c r="S661" t="str">
        <f t="shared" si="41"/>
        <v>February</v>
      </c>
      <c r="T661">
        <f t="shared" si="42"/>
        <v>2</v>
      </c>
      <c r="U661" t="str">
        <f t="shared" si="43"/>
        <v>Tuesday</v>
      </c>
    </row>
    <row r="662" spans="1:21" x14ac:dyDescent="0.2">
      <c r="A662" t="s">
        <v>700</v>
      </c>
      <c r="B662" t="s">
        <v>45</v>
      </c>
      <c r="C662" t="s">
        <v>46</v>
      </c>
      <c r="D662" t="s">
        <v>31</v>
      </c>
      <c r="E662" t="s">
        <v>25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33</v>
      </c>
      <c r="N662">
        <v>128.91</v>
      </c>
      <c r="O662">
        <v>4.7619047620000003</v>
      </c>
      <c r="P662">
        <v>6.4455</v>
      </c>
      <c r="Q662">
        <v>9.3000000000000007</v>
      </c>
      <c r="R662" s="3">
        <f t="shared" si="40"/>
        <v>128.91</v>
      </c>
      <c r="S662" t="str">
        <f t="shared" si="41"/>
        <v>March</v>
      </c>
      <c r="T662">
        <f t="shared" si="42"/>
        <v>3</v>
      </c>
      <c r="U662" t="str">
        <f t="shared" si="43"/>
        <v>Saturday</v>
      </c>
    </row>
    <row r="663" spans="1:21" x14ac:dyDescent="0.2">
      <c r="A663" t="s">
        <v>701</v>
      </c>
      <c r="B663" t="s">
        <v>29</v>
      </c>
      <c r="C663" t="s">
        <v>30</v>
      </c>
      <c r="D663" t="s">
        <v>24</v>
      </c>
      <c r="E663" t="s">
        <v>181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  <c r="R663" s="3">
        <f t="shared" si="40"/>
        <v>119.98</v>
      </c>
      <c r="S663" t="str">
        <f t="shared" si="41"/>
        <v>January</v>
      </c>
      <c r="T663">
        <f t="shared" si="42"/>
        <v>1</v>
      </c>
      <c r="U663" t="str">
        <f t="shared" si="43"/>
        <v>Wednesday</v>
      </c>
    </row>
    <row r="664" spans="1:21" x14ac:dyDescent="0.2">
      <c r="A664" t="s">
        <v>702</v>
      </c>
      <c r="B664" t="s">
        <v>45</v>
      </c>
      <c r="C664" t="s">
        <v>46</v>
      </c>
      <c r="D664" t="s">
        <v>24</v>
      </c>
      <c r="E664" t="s">
        <v>25</v>
      </c>
      <c r="F664" t="s">
        <v>49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  <c r="R664" s="3">
        <f t="shared" si="40"/>
        <v>352.5</v>
      </c>
      <c r="S664" t="str">
        <f t="shared" si="41"/>
        <v>March</v>
      </c>
      <c r="T664">
        <f t="shared" si="42"/>
        <v>3</v>
      </c>
      <c r="U664" t="str">
        <f t="shared" si="43"/>
        <v>Sunday</v>
      </c>
    </row>
    <row r="665" spans="1:21" x14ac:dyDescent="0.2">
      <c r="A665" t="s">
        <v>703</v>
      </c>
      <c r="B665" t="s">
        <v>29</v>
      </c>
      <c r="C665" t="s">
        <v>30</v>
      </c>
      <c r="D665" t="s">
        <v>24</v>
      </c>
      <c r="E665" t="s">
        <v>25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  <c r="R665" s="3">
        <f t="shared" si="40"/>
        <v>871</v>
      </c>
      <c r="S665" t="str">
        <f t="shared" si="41"/>
        <v>December</v>
      </c>
      <c r="T665">
        <f t="shared" si="42"/>
        <v>12</v>
      </c>
      <c r="U665" t="str">
        <f t="shared" si="43"/>
        <v>Monday</v>
      </c>
    </row>
    <row r="666" spans="1:21" x14ac:dyDescent="0.2">
      <c r="A666" t="s">
        <v>704</v>
      </c>
      <c r="B666" t="s">
        <v>29</v>
      </c>
      <c r="C666" t="s">
        <v>30</v>
      </c>
      <c r="D666" t="s">
        <v>31</v>
      </c>
      <c r="E666" t="s">
        <v>25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33</v>
      </c>
      <c r="N666">
        <v>197.6</v>
      </c>
      <c r="O666">
        <v>4.7619047620000003</v>
      </c>
      <c r="P666">
        <v>9.8800000000000008</v>
      </c>
      <c r="Q666">
        <v>7.7</v>
      </c>
      <c r="R666" s="3">
        <f t="shared" si="40"/>
        <v>197.6</v>
      </c>
      <c r="S666" t="str">
        <f t="shared" si="41"/>
        <v>February</v>
      </c>
      <c r="T666">
        <f t="shared" si="42"/>
        <v>2</v>
      </c>
      <c r="U666" t="str">
        <f t="shared" si="43"/>
        <v>Thursday</v>
      </c>
    </row>
    <row r="667" spans="1:21" x14ac:dyDescent="0.2">
      <c r="A667" t="s">
        <v>705</v>
      </c>
      <c r="B667" t="s">
        <v>22</v>
      </c>
      <c r="C667" t="s">
        <v>23</v>
      </c>
      <c r="D667" t="s">
        <v>31</v>
      </c>
      <c r="E667" t="s">
        <v>25</v>
      </c>
      <c r="F667" t="s">
        <v>49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27</v>
      </c>
      <c r="N667">
        <v>194.52</v>
      </c>
      <c r="O667">
        <v>4.7619047620000003</v>
      </c>
      <c r="P667">
        <v>9.7260000000000009</v>
      </c>
      <c r="Q667">
        <v>7.6</v>
      </c>
      <c r="R667" s="3">
        <f t="shared" si="40"/>
        <v>194.52</v>
      </c>
      <c r="S667" t="str">
        <f t="shared" si="41"/>
        <v>April</v>
      </c>
      <c r="T667">
        <f t="shared" si="42"/>
        <v>4</v>
      </c>
      <c r="U667" t="str">
        <f t="shared" si="43"/>
        <v>Tuesday</v>
      </c>
    </row>
    <row r="668" spans="1:21" x14ac:dyDescent="0.2">
      <c r="A668" t="s">
        <v>706</v>
      </c>
      <c r="B668" t="s">
        <v>45</v>
      </c>
      <c r="C668" t="s">
        <v>46</v>
      </c>
      <c r="D668" t="s">
        <v>24</v>
      </c>
      <c r="E668" t="s">
        <v>181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27</v>
      </c>
      <c r="N668">
        <v>173.22</v>
      </c>
      <c r="O668">
        <v>4.7619047620000003</v>
      </c>
      <c r="P668">
        <v>8.6609999999999996</v>
      </c>
      <c r="Q668">
        <v>7.7</v>
      </c>
      <c r="R668" s="3">
        <f t="shared" si="40"/>
        <v>173.22</v>
      </c>
      <c r="S668" t="str">
        <f t="shared" si="41"/>
        <v>February</v>
      </c>
      <c r="T668">
        <f t="shared" si="42"/>
        <v>2</v>
      </c>
      <c r="U668" t="str">
        <f t="shared" si="43"/>
        <v>Wednesday</v>
      </c>
    </row>
    <row r="669" spans="1:21" x14ac:dyDescent="0.2">
      <c r="A669" t="s">
        <v>707</v>
      </c>
      <c r="B669" t="s">
        <v>45</v>
      </c>
      <c r="C669" t="s">
        <v>46</v>
      </c>
      <c r="D669" t="s">
        <v>31</v>
      </c>
      <c r="E669" t="s">
        <v>25</v>
      </c>
      <c r="F669" t="s">
        <v>26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27</v>
      </c>
      <c r="N669">
        <v>71.88</v>
      </c>
      <c r="O669">
        <v>4.7619047620000003</v>
      </c>
      <c r="P669">
        <v>3.5939999999999999</v>
      </c>
      <c r="Q669">
        <v>6.4</v>
      </c>
      <c r="R669" s="3">
        <f t="shared" si="40"/>
        <v>71.88</v>
      </c>
      <c r="S669" t="str">
        <f t="shared" si="41"/>
        <v>February</v>
      </c>
      <c r="T669">
        <f t="shared" si="42"/>
        <v>2</v>
      </c>
      <c r="U669" t="str">
        <f t="shared" si="43"/>
        <v>Saturday</v>
      </c>
    </row>
    <row r="670" spans="1:21" x14ac:dyDescent="0.2">
      <c r="A670" t="s">
        <v>708</v>
      </c>
      <c r="B670" t="s">
        <v>29</v>
      </c>
      <c r="C670" t="s">
        <v>30</v>
      </c>
      <c r="D670" t="s">
        <v>24</v>
      </c>
      <c r="E670" t="s">
        <v>25</v>
      </c>
      <c r="F670" t="s">
        <v>26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27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3">
        <f t="shared" si="40"/>
        <v>286.26</v>
      </c>
      <c r="S670" t="str">
        <f t="shared" si="41"/>
        <v>February</v>
      </c>
      <c r="T670">
        <f t="shared" si="42"/>
        <v>2</v>
      </c>
      <c r="U670" t="str">
        <f t="shared" si="43"/>
        <v>Saturday</v>
      </c>
    </row>
    <row r="671" spans="1:21" x14ac:dyDescent="0.2">
      <c r="A671" t="s">
        <v>709</v>
      </c>
      <c r="B671" t="s">
        <v>45</v>
      </c>
      <c r="C671" t="s">
        <v>46</v>
      </c>
      <c r="D671" t="s">
        <v>31</v>
      </c>
      <c r="E671" t="s">
        <v>25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3">
        <f t="shared" si="40"/>
        <v>81.239999999999995</v>
      </c>
      <c r="S671" t="str">
        <f t="shared" si="41"/>
        <v>January</v>
      </c>
      <c r="T671">
        <f t="shared" si="42"/>
        <v>1</v>
      </c>
      <c r="U671" t="str">
        <f t="shared" si="43"/>
        <v>Thursday</v>
      </c>
    </row>
    <row r="672" spans="1:21" x14ac:dyDescent="0.2">
      <c r="A672" t="s">
        <v>710</v>
      </c>
      <c r="B672" t="s">
        <v>22</v>
      </c>
      <c r="C672" t="s">
        <v>23</v>
      </c>
      <c r="D672" t="s">
        <v>24</v>
      </c>
      <c r="E672" t="s">
        <v>181</v>
      </c>
      <c r="F672" t="s">
        <v>49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27</v>
      </c>
      <c r="N672">
        <v>560.4</v>
      </c>
      <c r="O672">
        <v>4.7619047620000003</v>
      </c>
      <c r="P672">
        <v>28.02</v>
      </c>
      <c r="Q672">
        <v>4.4000000000000004</v>
      </c>
      <c r="R672" s="3">
        <f t="shared" si="40"/>
        <v>560.4</v>
      </c>
      <c r="S672" t="str">
        <f t="shared" si="41"/>
        <v>January</v>
      </c>
      <c r="T672">
        <f t="shared" si="42"/>
        <v>1</v>
      </c>
      <c r="U672" t="str">
        <f t="shared" si="43"/>
        <v>Monday</v>
      </c>
    </row>
    <row r="673" spans="1:21" x14ac:dyDescent="0.2">
      <c r="A673" t="s">
        <v>711</v>
      </c>
      <c r="B673" t="s">
        <v>45</v>
      </c>
      <c r="C673" t="s">
        <v>46</v>
      </c>
      <c r="D673" t="s">
        <v>24</v>
      </c>
      <c r="E673" t="s">
        <v>181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33</v>
      </c>
      <c r="N673">
        <v>186.8</v>
      </c>
      <c r="O673">
        <v>4.7619047620000003</v>
      </c>
      <c r="P673">
        <v>9.34</v>
      </c>
      <c r="Q673">
        <v>5.5</v>
      </c>
      <c r="R673" s="3">
        <f t="shared" si="40"/>
        <v>186.8</v>
      </c>
      <c r="S673" t="str">
        <f t="shared" si="41"/>
        <v>March</v>
      </c>
      <c r="T673">
        <f t="shared" si="42"/>
        <v>3</v>
      </c>
      <c r="U673" t="str">
        <f t="shared" si="43"/>
        <v>Saturday</v>
      </c>
    </row>
    <row r="674" spans="1:21" x14ac:dyDescent="0.2">
      <c r="A674" t="s">
        <v>712</v>
      </c>
      <c r="B674" t="s">
        <v>45</v>
      </c>
      <c r="C674" t="s">
        <v>46</v>
      </c>
      <c r="D674" t="s">
        <v>31</v>
      </c>
      <c r="E674" t="s">
        <v>25</v>
      </c>
      <c r="F674" t="s">
        <v>26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27</v>
      </c>
      <c r="N674">
        <v>220.23</v>
      </c>
      <c r="O674">
        <v>4.7619047620000003</v>
      </c>
      <c r="P674">
        <v>11.0115</v>
      </c>
      <c r="Q674">
        <v>4</v>
      </c>
      <c r="R674" s="3">
        <f t="shared" si="40"/>
        <v>220.23</v>
      </c>
      <c r="S674" t="str">
        <f t="shared" si="41"/>
        <v>February</v>
      </c>
      <c r="T674">
        <f t="shared" si="42"/>
        <v>2</v>
      </c>
      <c r="U674" t="str">
        <f t="shared" si="43"/>
        <v>Sunday</v>
      </c>
    </row>
    <row r="675" spans="1:21" x14ac:dyDescent="0.2">
      <c r="A675" t="s">
        <v>713</v>
      </c>
      <c r="B675" t="s">
        <v>29</v>
      </c>
      <c r="C675" t="s">
        <v>30</v>
      </c>
      <c r="D675" t="s">
        <v>31</v>
      </c>
      <c r="E675" t="s">
        <v>181</v>
      </c>
      <c r="F675" t="s">
        <v>26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  <c r="R675" s="3">
        <f t="shared" si="40"/>
        <v>269.12</v>
      </c>
      <c r="S675" t="str">
        <f t="shared" si="41"/>
        <v>February</v>
      </c>
      <c r="T675">
        <f t="shared" si="42"/>
        <v>2</v>
      </c>
      <c r="U675" t="str">
        <f t="shared" si="43"/>
        <v>Friday</v>
      </c>
    </row>
    <row r="676" spans="1:21" x14ac:dyDescent="0.2">
      <c r="A676" t="s">
        <v>714</v>
      </c>
      <c r="B676" t="s">
        <v>22</v>
      </c>
      <c r="C676" t="s">
        <v>23</v>
      </c>
      <c r="D676" t="s">
        <v>31</v>
      </c>
      <c r="E676" t="s">
        <v>25</v>
      </c>
      <c r="F676" t="s">
        <v>32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  <c r="R676" s="3">
        <f t="shared" si="40"/>
        <v>454.79999999999995</v>
      </c>
      <c r="S676" t="str">
        <f t="shared" si="41"/>
        <v>January</v>
      </c>
      <c r="T676">
        <f t="shared" si="42"/>
        <v>1</v>
      </c>
      <c r="U676" t="str">
        <f t="shared" si="43"/>
        <v>Thursday</v>
      </c>
    </row>
    <row r="677" spans="1:21" x14ac:dyDescent="0.2">
      <c r="A677" t="s">
        <v>715</v>
      </c>
      <c r="B677" t="s">
        <v>45</v>
      </c>
      <c r="C677" t="s">
        <v>46</v>
      </c>
      <c r="D677" t="s">
        <v>24</v>
      </c>
      <c r="E677" t="s">
        <v>181</v>
      </c>
      <c r="F677" t="s">
        <v>49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33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3">
        <f t="shared" si="40"/>
        <v>167.54</v>
      </c>
      <c r="S677" t="str">
        <f t="shared" si="41"/>
        <v>February</v>
      </c>
      <c r="T677">
        <f t="shared" si="42"/>
        <v>2</v>
      </c>
      <c r="U677" t="str">
        <f t="shared" si="43"/>
        <v>Sunday</v>
      </c>
    </row>
    <row r="678" spans="1:21" x14ac:dyDescent="0.2">
      <c r="A678" t="s">
        <v>716</v>
      </c>
      <c r="B678" t="s">
        <v>45</v>
      </c>
      <c r="C678" t="s">
        <v>46</v>
      </c>
      <c r="D678" t="s">
        <v>24</v>
      </c>
      <c r="E678" t="s">
        <v>25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  <c r="R678" s="3">
        <f t="shared" si="40"/>
        <v>448.56</v>
      </c>
      <c r="S678" t="str">
        <f t="shared" si="41"/>
        <v>February</v>
      </c>
      <c r="T678">
        <f t="shared" si="42"/>
        <v>2</v>
      </c>
      <c r="U678" t="str">
        <f t="shared" si="43"/>
        <v>Tuesday</v>
      </c>
    </row>
    <row r="679" spans="1:21" x14ac:dyDescent="0.2">
      <c r="A679" t="s">
        <v>717</v>
      </c>
      <c r="B679" t="s">
        <v>22</v>
      </c>
      <c r="C679" t="s">
        <v>23</v>
      </c>
      <c r="D679" t="s">
        <v>24</v>
      </c>
      <c r="E679" t="s">
        <v>25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33</v>
      </c>
      <c r="N679">
        <v>293.88</v>
      </c>
      <c r="O679">
        <v>4.7619047620000003</v>
      </c>
      <c r="P679">
        <v>14.694000000000001</v>
      </c>
      <c r="Q679">
        <v>6</v>
      </c>
      <c r="R679" s="3">
        <f t="shared" si="40"/>
        <v>293.88</v>
      </c>
      <c r="S679" t="str">
        <f t="shared" si="41"/>
        <v>February</v>
      </c>
      <c r="T679">
        <f t="shared" si="42"/>
        <v>2</v>
      </c>
      <c r="U679" t="str">
        <f t="shared" si="43"/>
        <v>Saturday</v>
      </c>
    </row>
    <row r="680" spans="1:21" x14ac:dyDescent="0.2">
      <c r="A680" t="s">
        <v>718</v>
      </c>
      <c r="B680" t="s">
        <v>29</v>
      </c>
      <c r="C680" t="s">
        <v>30</v>
      </c>
      <c r="D680" t="s">
        <v>31</v>
      </c>
      <c r="E680" t="s">
        <v>181</v>
      </c>
      <c r="F680" t="s">
        <v>26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27</v>
      </c>
      <c r="N680">
        <v>589.5</v>
      </c>
      <c r="O680">
        <v>4.7619047620000003</v>
      </c>
      <c r="P680">
        <v>29.475000000000001</v>
      </c>
      <c r="Q680">
        <v>8.1</v>
      </c>
      <c r="R680" s="3">
        <f t="shared" si="40"/>
        <v>589.5</v>
      </c>
      <c r="S680" t="str">
        <f t="shared" si="41"/>
        <v>July</v>
      </c>
      <c r="T680">
        <f t="shared" si="42"/>
        <v>7</v>
      </c>
      <c r="U680" t="str">
        <f t="shared" si="43"/>
        <v>Tuesday</v>
      </c>
    </row>
    <row r="681" spans="1:21" x14ac:dyDescent="0.2">
      <c r="A681" t="s">
        <v>719</v>
      </c>
      <c r="B681" t="s">
        <v>22</v>
      </c>
      <c r="C681" t="s">
        <v>23</v>
      </c>
      <c r="D681" t="s">
        <v>24</v>
      </c>
      <c r="E681" t="s">
        <v>181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27</v>
      </c>
      <c r="N681">
        <v>291</v>
      </c>
      <c r="O681">
        <v>4.7619047620000003</v>
      </c>
      <c r="P681">
        <v>14.55</v>
      </c>
      <c r="Q681">
        <v>9.4</v>
      </c>
      <c r="R681" s="3">
        <f t="shared" si="40"/>
        <v>291</v>
      </c>
      <c r="S681" t="str">
        <f t="shared" si="41"/>
        <v>November</v>
      </c>
      <c r="T681">
        <f t="shared" si="42"/>
        <v>11</v>
      </c>
      <c r="U681" t="str">
        <f t="shared" si="43"/>
        <v>Friday</v>
      </c>
    </row>
    <row r="682" spans="1:21" x14ac:dyDescent="0.2">
      <c r="A682" t="s">
        <v>720</v>
      </c>
      <c r="B682" t="s">
        <v>45</v>
      </c>
      <c r="C682" t="s">
        <v>46</v>
      </c>
      <c r="D682" t="s">
        <v>24</v>
      </c>
      <c r="E682" t="s">
        <v>25</v>
      </c>
      <c r="F682" t="s">
        <v>32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33</v>
      </c>
      <c r="N682">
        <v>39.479999999999997</v>
      </c>
      <c r="O682">
        <v>4.7619047620000003</v>
      </c>
      <c r="P682">
        <v>1.974</v>
      </c>
      <c r="Q682">
        <v>6.5</v>
      </c>
      <c r="R682" s="3">
        <f t="shared" si="40"/>
        <v>39.479999999999997</v>
      </c>
      <c r="S682" t="str">
        <f t="shared" si="41"/>
        <v>December</v>
      </c>
      <c r="T682">
        <f t="shared" si="42"/>
        <v>12</v>
      </c>
      <c r="U682" t="str">
        <f t="shared" si="43"/>
        <v>Monday</v>
      </c>
    </row>
    <row r="683" spans="1:21" x14ac:dyDescent="0.2">
      <c r="A683" t="s">
        <v>721</v>
      </c>
      <c r="B683" t="s">
        <v>45</v>
      </c>
      <c r="C683" t="s">
        <v>46</v>
      </c>
      <c r="D683" t="s">
        <v>31</v>
      </c>
      <c r="E683" t="s">
        <v>25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  <c r="R683" s="3">
        <f t="shared" si="40"/>
        <v>34.81</v>
      </c>
      <c r="S683" t="str">
        <f t="shared" si="41"/>
        <v>January</v>
      </c>
      <c r="T683">
        <f t="shared" si="42"/>
        <v>1</v>
      </c>
      <c r="U683" t="str">
        <f t="shared" si="43"/>
        <v>Monday</v>
      </c>
    </row>
    <row r="684" spans="1:21" x14ac:dyDescent="0.2">
      <c r="A684" t="s">
        <v>722</v>
      </c>
      <c r="B684" t="s">
        <v>29</v>
      </c>
      <c r="C684" t="s">
        <v>30</v>
      </c>
      <c r="D684" t="s">
        <v>31</v>
      </c>
      <c r="E684" t="s">
        <v>25</v>
      </c>
      <c r="F684" t="s">
        <v>49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27</v>
      </c>
      <c r="N684">
        <v>295.92</v>
      </c>
      <c r="O684">
        <v>4.7619047620000003</v>
      </c>
      <c r="P684">
        <v>14.795999999999999</v>
      </c>
      <c r="Q684">
        <v>7.1</v>
      </c>
      <c r="R684" s="3">
        <f t="shared" si="40"/>
        <v>295.92</v>
      </c>
      <c r="S684" t="str">
        <f t="shared" si="41"/>
        <v>September</v>
      </c>
      <c r="T684">
        <f t="shared" si="42"/>
        <v>9</v>
      </c>
      <c r="U684" t="str">
        <f t="shared" si="43"/>
        <v>Sunday</v>
      </c>
    </row>
    <row r="685" spans="1:21" x14ac:dyDescent="0.2">
      <c r="A685" t="s">
        <v>723</v>
      </c>
      <c r="B685" t="s">
        <v>22</v>
      </c>
      <c r="C685" t="s">
        <v>23</v>
      </c>
      <c r="D685" t="s">
        <v>24</v>
      </c>
      <c r="E685" t="s">
        <v>181</v>
      </c>
      <c r="F685" t="s">
        <v>49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27</v>
      </c>
      <c r="N685">
        <v>42.96</v>
      </c>
      <c r="O685">
        <v>4.7619047620000003</v>
      </c>
      <c r="P685">
        <v>2.1480000000000001</v>
      </c>
      <c r="Q685">
        <v>6.6</v>
      </c>
      <c r="R685" s="3">
        <f t="shared" si="40"/>
        <v>42.96</v>
      </c>
      <c r="S685" t="str">
        <f t="shared" si="41"/>
        <v>February</v>
      </c>
      <c r="T685">
        <f t="shared" si="42"/>
        <v>2</v>
      </c>
      <c r="U685" t="str">
        <f t="shared" si="43"/>
        <v>Wednesday</v>
      </c>
    </row>
    <row r="686" spans="1:21" x14ac:dyDescent="0.2">
      <c r="A686" t="s">
        <v>724</v>
      </c>
      <c r="B686" t="s">
        <v>45</v>
      </c>
      <c r="C686" t="s">
        <v>46</v>
      </c>
      <c r="D686" t="s">
        <v>24</v>
      </c>
      <c r="E686" t="s">
        <v>25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27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3">
        <f t="shared" si="40"/>
        <v>138.47999999999999</v>
      </c>
      <c r="S686" t="str">
        <f t="shared" si="41"/>
        <v>January</v>
      </c>
      <c r="T686">
        <f t="shared" si="42"/>
        <v>1</v>
      </c>
      <c r="U686" t="str">
        <f t="shared" si="43"/>
        <v>Thursday</v>
      </c>
    </row>
    <row r="687" spans="1:21" x14ac:dyDescent="0.2">
      <c r="A687" t="s">
        <v>725</v>
      </c>
      <c r="B687" t="s">
        <v>45</v>
      </c>
      <c r="C687" t="s">
        <v>46</v>
      </c>
      <c r="D687" t="s">
        <v>24</v>
      </c>
      <c r="E687" t="s">
        <v>25</v>
      </c>
      <c r="F687" t="s">
        <v>35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  <c r="R687" s="3">
        <f t="shared" si="40"/>
        <v>98.2</v>
      </c>
      <c r="S687" t="str">
        <f t="shared" si="41"/>
        <v>August</v>
      </c>
      <c r="T687">
        <f t="shared" si="42"/>
        <v>8</v>
      </c>
      <c r="U687" t="str">
        <f t="shared" si="43"/>
        <v>Thursday</v>
      </c>
    </row>
    <row r="688" spans="1:21" x14ac:dyDescent="0.2">
      <c r="A688" t="s">
        <v>726</v>
      </c>
      <c r="B688" t="s">
        <v>45</v>
      </c>
      <c r="C688" t="s">
        <v>46</v>
      </c>
      <c r="D688" t="s">
        <v>24</v>
      </c>
      <c r="E688" t="s">
        <v>25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  <c r="R688" s="3">
        <f t="shared" si="40"/>
        <v>129.66</v>
      </c>
      <c r="S688" t="str">
        <f t="shared" si="41"/>
        <v>August</v>
      </c>
      <c r="T688">
        <f t="shared" si="42"/>
        <v>8</v>
      </c>
      <c r="U688" t="str">
        <f t="shared" si="43"/>
        <v>Thursday</v>
      </c>
    </row>
    <row r="689" spans="1:21" x14ac:dyDescent="0.2">
      <c r="A689" t="s">
        <v>727</v>
      </c>
      <c r="B689" t="s">
        <v>22</v>
      </c>
      <c r="C689" t="s">
        <v>23</v>
      </c>
      <c r="D689" t="s">
        <v>24</v>
      </c>
      <c r="E689" t="s">
        <v>181</v>
      </c>
      <c r="F689" t="s">
        <v>35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33</v>
      </c>
      <c r="N689">
        <v>635.6</v>
      </c>
      <c r="O689">
        <v>4.7619047620000003</v>
      </c>
      <c r="P689">
        <v>31.78</v>
      </c>
      <c r="Q689">
        <v>4.3</v>
      </c>
      <c r="R689" s="3">
        <f t="shared" si="40"/>
        <v>635.6</v>
      </c>
      <c r="S689" t="str">
        <f t="shared" si="41"/>
        <v>January</v>
      </c>
      <c r="T689">
        <f t="shared" si="42"/>
        <v>1</v>
      </c>
      <c r="U689" t="str">
        <f t="shared" si="43"/>
        <v>Wednesday</v>
      </c>
    </row>
    <row r="690" spans="1:21" x14ac:dyDescent="0.2">
      <c r="A690" t="s">
        <v>728</v>
      </c>
      <c r="B690" t="s">
        <v>29</v>
      </c>
      <c r="C690" t="s">
        <v>30</v>
      </c>
      <c r="D690" t="s">
        <v>24</v>
      </c>
      <c r="E690" t="s">
        <v>181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33</v>
      </c>
      <c r="N690">
        <v>145.76</v>
      </c>
      <c r="O690">
        <v>4.7619047620000003</v>
      </c>
      <c r="P690">
        <v>7.2880000000000003</v>
      </c>
      <c r="Q690">
        <v>6.1</v>
      </c>
      <c r="R690" s="3">
        <f t="shared" si="40"/>
        <v>145.76</v>
      </c>
      <c r="S690" t="str">
        <f t="shared" si="41"/>
        <v>March</v>
      </c>
      <c r="T690">
        <f t="shared" si="42"/>
        <v>3</v>
      </c>
      <c r="U690" t="str">
        <f t="shared" si="43"/>
        <v>Wednesday</v>
      </c>
    </row>
    <row r="691" spans="1:21" x14ac:dyDescent="0.2">
      <c r="A691" t="s">
        <v>729</v>
      </c>
      <c r="B691" t="s">
        <v>22</v>
      </c>
      <c r="C691" t="s">
        <v>23</v>
      </c>
      <c r="D691" t="s">
        <v>31</v>
      </c>
      <c r="E691" t="s">
        <v>25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33</v>
      </c>
      <c r="N691">
        <v>201.3</v>
      </c>
      <c r="O691">
        <v>4.7619047620000003</v>
      </c>
      <c r="P691">
        <v>10.065</v>
      </c>
      <c r="Q691">
        <v>7.5</v>
      </c>
      <c r="R691" s="3">
        <f t="shared" si="40"/>
        <v>201.29999999999998</v>
      </c>
      <c r="S691" t="str">
        <f t="shared" si="41"/>
        <v>February</v>
      </c>
      <c r="T691">
        <f t="shared" si="42"/>
        <v>2</v>
      </c>
      <c r="U691" t="str">
        <f t="shared" si="43"/>
        <v>Friday</v>
      </c>
    </row>
    <row r="692" spans="1:21" x14ac:dyDescent="0.2">
      <c r="A692" t="s">
        <v>730</v>
      </c>
      <c r="B692" t="s">
        <v>29</v>
      </c>
      <c r="C692" t="s">
        <v>30</v>
      </c>
      <c r="D692" t="s">
        <v>24</v>
      </c>
      <c r="E692" t="s">
        <v>25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33</v>
      </c>
      <c r="N692">
        <v>631.71</v>
      </c>
      <c r="O692">
        <v>4.7619047620000003</v>
      </c>
      <c r="P692">
        <v>31.5855</v>
      </c>
      <c r="Q692">
        <v>6.7</v>
      </c>
      <c r="R692" s="3">
        <f t="shared" si="40"/>
        <v>631.71</v>
      </c>
      <c r="S692" t="str">
        <f t="shared" si="41"/>
        <v>January</v>
      </c>
      <c r="T692">
        <f t="shared" si="42"/>
        <v>1</v>
      </c>
      <c r="U692" t="str">
        <f t="shared" si="43"/>
        <v>Friday</v>
      </c>
    </row>
    <row r="693" spans="1:21" x14ac:dyDescent="0.2">
      <c r="A693" t="s">
        <v>731</v>
      </c>
      <c r="B693" t="s">
        <v>29</v>
      </c>
      <c r="C693" t="s">
        <v>30</v>
      </c>
      <c r="D693" t="s">
        <v>24</v>
      </c>
      <c r="E693" t="s">
        <v>181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27</v>
      </c>
      <c r="N693">
        <v>385.28</v>
      </c>
      <c r="O693">
        <v>4.7619047620000003</v>
      </c>
      <c r="P693">
        <v>19.263999999999999</v>
      </c>
      <c r="Q693">
        <v>5.2</v>
      </c>
      <c r="R693" s="3">
        <f t="shared" si="40"/>
        <v>385.28</v>
      </c>
      <c r="S693" t="str">
        <f t="shared" si="41"/>
        <v>December</v>
      </c>
      <c r="T693">
        <f t="shared" si="42"/>
        <v>12</v>
      </c>
      <c r="U693" t="str">
        <f t="shared" si="43"/>
        <v>Tuesday</v>
      </c>
    </row>
    <row r="694" spans="1:21" x14ac:dyDescent="0.2">
      <c r="A694" t="s">
        <v>732</v>
      </c>
      <c r="B694" t="s">
        <v>22</v>
      </c>
      <c r="C694" t="s">
        <v>23</v>
      </c>
      <c r="D694" t="s">
        <v>24</v>
      </c>
      <c r="E694" t="s">
        <v>181</v>
      </c>
      <c r="F694" t="s">
        <v>26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33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3">
        <f t="shared" si="40"/>
        <v>486.3</v>
      </c>
      <c r="S694" t="str">
        <f t="shared" si="41"/>
        <v>April</v>
      </c>
      <c r="T694">
        <f t="shared" si="42"/>
        <v>4</v>
      </c>
      <c r="U694" t="str">
        <f t="shared" si="43"/>
        <v>Wednesday</v>
      </c>
    </row>
    <row r="695" spans="1:21" x14ac:dyDescent="0.2">
      <c r="A695" t="s">
        <v>733</v>
      </c>
      <c r="B695" t="s">
        <v>29</v>
      </c>
      <c r="C695" t="s">
        <v>30</v>
      </c>
      <c r="D695" t="s">
        <v>24</v>
      </c>
      <c r="E695" t="s">
        <v>25</v>
      </c>
      <c r="F695" t="s">
        <v>49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33</v>
      </c>
      <c r="N695">
        <v>513.66</v>
      </c>
      <c r="O695">
        <v>4.7619047620000003</v>
      </c>
      <c r="P695">
        <v>25.683</v>
      </c>
      <c r="Q695">
        <v>9.5</v>
      </c>
      <c r="R695" s="3">
        <f t="shared" si="40"/>
        <v>513.66</v>
      </c>
      <c r="S695" t="str">
        <f t="shared" si="41"/>
        <v>October</v>
      </c>
      <c r="T695">
        <f t="shared" si="42"/>
        <v>10</v>
      </c>
      <c r="U695" t="str">
        <f t="shared" si="43"/>
        <v>Wednesday</v>
      </c>
    </row>
    <row r="696" spans="1:21" x14ac:dyDescent="0.2">
      <c r="A696" t="s">
        <v>734</v>
      </c>
      <c r="B696" t="s">
        <v>29</v>
      </c>
      <c r="C696" t="s">
        <v>30</v>
      </c>
      <c r="D696" t="s">
        <v>31</v>
      </c>
      <c r="E696" t="s">
        <v>25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33</v>
      </c>
      <c r="N696">
        <v>473.4</v>
      </c>
      <c r="O696">
        <v>4.7619047620000003</v>
      </c>
      <c r="P696">
        <v>23.67</v>
      </c>
      <c r="Q696">
        <v>7.6</v>
      </c>
      <c r="R696" s="3">
        <f t="shared" si="40"/>
        <v>473.40000000000003</v>
      </c>
      <c r="S696" t="str">
        <f t="shared" si="41"/>
        <v>January</v>
      </c>
      <c r="T696">
        <f t="shared" si="42"/>
        <v>1</v>
      </c>
      <c r="U696" t="str">
        <f t="shared" si="43"/>
        <v>Wednesday</v>
      </c>
    </row>
    <row r="697" spans="1:21" x14ac:dyDescent="0.2">
      <c r="A697" t="s">
        <v>735</v>
      </c>
      <c r="B697" t="s">
        <v>22</v>
      </c>
      <c r="C697" t="s">
        <v>23</v>
      </c>
      <c r="D697" t="s">
        <v>24</v>
      </c>
      <c r="E697" t="s">
        <v>25</v>
      </c>
      <c r="F697" t="s">
        <v>35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33</v>
      </c>
      <c r="N697">
        <v>436.85</v>
      </c>
      <c r="O697">
        <v>4.7619047620000003</v>
      </c>
      <c r="P697">
        <v>21.842500000000001</v>
      </c>
      <c r="Q697">
        <v>6.6</v>
      </c>
      <c r="R697" s="3">
        <f t="shared" si="40"/>
        <v>436.85</v>
      </c>
      <c r="S697" t="str">
        <f t="shared" si="41"/>
        <v>January</v>
      </c>
      <c r="T697">
        <f t="shared" si="42"/>
        <v>1</v>
      </c>
      <c r="U697" t="str">
        <f t="shared" si="43"/>
        <v>Tuesday</v>
      </c>
    </row>
    <row r="698" spans="1:21" x14ac:dyDescent="0.2">
      <c r="A698" t="s">
        <v>736</v>
      </c>
      <c r="B698" t="s">
        <v>22</v>
      </c>
      <c r="C698" t="s">
        <v>23</v>
      </c>
      <c r="D698" t="s">
        <v>24</v>
      </c>
      <c r="E698" t="s">
        <v>25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27</v>
      </c>
      <c r="N698">
        <v>108.16</v>
      </c>
      <c r="O698">
        <v>4.7619047620000003</v>
      </c>
      <c r="P698">
        <v>5.4080000000000004</v>
      </c>
      <c r="Q698">
        <v>6.9</v>
      </c>
      <c r="R698" s="3">
        <f t="shared" si="40"/>
        <v>108.16</v>
      </c>
      <c r="S698" t="str">
        <f t="shared" si="41"/>
        <v>January</v>
      </c>
      <c r="T698">
        <f t="shared" si="42"/>
        <v>1</v>
      </c>
      <c r="U698" t="str">
        <f t="shared" si="43"/>
        <v>Tuesday</v>
      </c>
    </row>
    <row r="699" spans="1:21" x14ac:dyDescent="0.2">
      <c r="A699" t="s">
        <v>737</v>
      </c>
      <c r="B699" t="s">
        <v>45</v>
      </c>
      <c r="C699" t="s">
        <v>46</v>
      </c>
      <c r="D699" t="s">
        <v>31</v>
      </c>
      <c r="E699" t="s">
        <v>181</v>
      </c>
      <c r="F699" t="s">
        <v>35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27</v>
      </c>
      <c r="N699">
        <v>248.76</v>
      </c>
      <c r="O699">
        <v>4.7619047620000003</v>
      </c>
      <c r="P699">
        <v>12.438000000000001</v>
      </c>
      <c r="Q699">
        <v>4.3</v>
      </c>
      <c r="R699" s="3">
        <f t="shared" si="40"/>
        <v>248.76</v>
      </c>
      <c r="S699" t="str">
        <f t="shared" si="41"/>
        <v>June</v>
      </c>
      <c r="T699">
        <f t="shared" si="42"/>
        <v>6</v>
      </c>
      <c r="U699" t="str">
        <f t="shared" si="43"/>
        <v>Saturday</v>
      </c>
    </row>
    <row r="700" spans="1:21" x14ac:dyDescent="0.2">
      <c r="A700" t="s">
        <v>738</v>
      </c>
      <c r="B700" t="s">
        <v>22</v>
      </c>
      <c r="C700" t="s">
        <v>23</v>
      </c>
      <c r="D700" t="s">
        <v>24</v>
      </c>
      <c r="E700" t="s">
        <v>181</v>
      </c>
      <c r="F700" t="s">
        <v>32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  <c r="R700" s="3">
        <f t="shared" si="40"/>
        <v>626.22</v>
      </c>
      <c r="S700" t="str">
        <f t="shared" si="41"/>
        <v>February</v>
      </c>
      <c r="T700">
        <f t="shared" si="42"/>
        <v>2</v>
      </c>
      <c r="U700" t="str">
        <f t="shared" si="43"/>
        <v>Tuesday</v>
      </c>
    </row>
    <row r="701" spans="1:21" x14ac:dyDescent="0.2">
      <c r="A701" t="s">
        <v>739</v>
      </c>
      <c r="B701" t="s">
        <v>29</v>
      </c>
      <c r="C701" t="s">
        <v>30</v>
      </c>
      <c r="D701" t="s">
        <v>31</v>
      </c>
      <c r="E701" t="s">
        <v>181</v>
      </c>
      <c r="F701" t="s">
        <v>35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27</v>
      </c>
      <c r="N701">
        <v>975</v>
      </c>
      <c r="O701">
        <v>4.7619047620000003</v>
      </c>
      <c r="P701">
        <v>48.75</v>
      </c>
      <c r="Q701">
        <v>8</v>
      </c>
      <c r="R701" s="3">
        <f t="shared" si="40"/>
        <v>975</v>
      </c>
      <c r="S701" t="str">
        <f t="shared" si="41"/>
        <v>December</v>
      </c>
      <c r="T701">
        <f t="shared" si="42"/>
        <v>12</v>
      </c>
      <c r="U701" t="str">
        <f t="shared" si="43"/>
        <v>Sunday</v>
      </c>
    </row>
    <row r="702" spans="1:21" x14ac:dyDescent="0.2">
      <c r="A702" t="s">
        <v>740</v>
      </c>
      <c r="B702" t="s">
        <v>29</v>
      </c>
      <c r="C702" t="s">
        <v>30</v>
      </c>
      <c r="D702" t="s">
        <v>31</v>
      </c>
      <c r="E702" t="s">
        <v>25</v>
      </c>
      <c r="F702" t="s">
        <v>49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27</v>
      </c>
      <c r="N702">
        <v>483.28</v>
      </c>
      <c r="O702">
        <v>4.7619047620000003</v>
      </c>
      <c r="P702">
        <v>24.164000000000001</v>
      </c>
      <c r="Q702">
        <v>9.6</v>
      </c>
      <c r="R702" s="3">
        <f t="shared" si="40"/>
        <v>483.28</v>
      </c>
      <c r="S702" t="str">
        <f t="shared" si="41"/>
        <v>July</v>
      </c>
      <c r="T702">
        <f t="shared" si="42"/>
        <v>7</v>
      </c>
      <c r="U702" t="str">
        <f t="shared" si="43"/>
        <v>Tuesday</v>
      </c>
    </row>
    <row r="703" spans="1:21" x14ac:dyDescent="0.2">
      <c r="A703" t="s">
        <v>741</v>
      </c>
      <c r="B703" t="s">
        <v>45</v>
      </c>
      <c r="C703" t="s">
        <v>46</v>
      </c>
      <c r="D703" t="s">
        <v>31</v>
      </c>
      <c r="E703" t="s">
        <v>181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  <c r="R703" s="3">
        <f t="shared" si="40"/>
        <v>96.960000000000008</v>
      </c>
      <c r="S703" t="str">
        <f t="shared" si="41"/>
        <v>March</v>
      </c>
      <c r="T703">
        <f t="shared" si="42"/>
        <v>3</v>
      </c>
      <c r="U703" t="str">
        <f t="shared" si="43"/>
        <v>Wednesday</v>
      </c>
    </row>
    <row r="704" spans="1:21" x14ac:dyDescent="0.2">
      <c r="A704" t="s">
        <v>742</v>
      </c>
      <c r="B704" t="s">
        <v>45</v>
      </c>
      <c r="C704" t="s">
        <v>46</v>
      </c>
      <c r="D704" t="s">
        <v>24</v>
      </c>
      <c r="E704" t="s">
        <v>25</v>
      </c>
      <c r="F704" t="s">
        <v>49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  <c r="R704" s="3">
        <f t="shared" si="40"/>
        <v>197.7</v>
      </c>
      <c r="S704" t="str">
        <f t="shared" si="41"/>
        <v>February</v>
      </c>
      <c r="T704">
        <f t="shared" si="42"/>
        <v>2</v>
      </c>
      <c r="U704" t="str">
        <f t="shared" si="43"/>
        <v>Wednesday</v>
      </c>
    </row>
    <row r="705" spans="1:21" x14ac:dyDescent="0.2">
      <c r="A705" t="s">
        <v>743</v>
      </c>
      <c r="B705" t="s">
        <v>45</v>
      </c>
      <c r="C705" t="s">
        <v>46</v>
      </c>
      <c r="D705" t="s">
        <v>24</v>
      </c>
      <c r="E705" t="s">
        <v>181</v>
      </c>
      <c r="F705" t="s">
        <v>26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33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3">
        <f t="shared" si="40"/>
        <v>724.23</v>
      </c>
      <c r="S705" t="str">
        <f t="shared" si="41"/>
        <v>June</v>
      </c>
      <c r="T705">
        <f t="shared" si="42"/>
        <v>6</v>
      </c>
      <c r="U705" t="str">
        <f t="shared" si="43"/>
        <v>Saturday</v>
      </c>
    </row>
    <row r="706" spans="1:21" x14ac:dyDescent="0.2">
      <c r="A706" t="s">
        <v>744</v>
      </c>
      <c r="B706" t="s">
        <v>45</v>
      </c>
      <c r="C706" t="s">
        <v>46</v>
      </c>
      <c r="D706" t="s">
        <v>24</v>
      </c>
      <c r="E706" t="s">
        <v>25</v>
      </c>
      <c r="F706" t="s">
        <v>35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33</v>
      </c>
      <c r="N706">
        <v>795.51</v>
      </c>
      <c r="O706">
        <v>4.7619047620000003</v>
      </c>
      <c r="P706">
        <v>39.775500000000001</v>
      </c>
      <c r="Q706">
        <v>6.3</v>
      </c>
      <c r="R706" s="3">
        <f t="shared" si="40"/>
        <v>795.51</v>
      </c>
      <c r="S706" t="str">
        <f t="shared" si="41"/>
        <v>February</v>
      </c>
      <c r="T706">
        <f t="shared" si="42"/>
        <v>2</v>
      </c>
      <c r="U706" t="str">
        <f t="shared" si="43"/>
        <v>Sunday</v>
      </c>
    </row>
    <row r="707" spans="1:21" x14ac:dyDescent="0.2">
      <c r="A707" t="s">
        <v>745</v>
      </c>
      <c r="B707" t="s">
        <v>45</v>
      </c>
      <c r="C707" t="s">
        <v>46</v>
      </c>
      <c r="D707" t="s">
        <v>31</v>
      </c>
      <c r="E707" t="s">
        <v>181</v>
      </c>
      <c r="F707" t="s">
        <v>26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33</v>
      </c>
      <c r="N707">
        <v>502.39</v>
      </c>
      <c r="O707">
        <v>4.7619047620000003</v>
      </c>
      <c r="P707">
        <v>25.119499999999999</v>
      </c>
      <c r="Q707">
        <v>8.9</v>
      </c>
      <c r="R707" s="3">
        <f t="shared" ref="R707:R770" si="44">H707*G707</f>
        <v>502.39</v>
      </c>
      <c r="S707" t="str">
        <f t="shared" ref="S707:S770" si="45">TEXT(K707,"mmmm")</f>
        <v>March</v>
      </c>
      <c r="T707">
        <f t="shared" ref="T707:T770" si="46">MONTH(K707)</f>
        <v>3</v>
      </c>
      <c r="U707" t="str">
        <f t="shared" ref="U707:U770" si="47">TEXT(K707,"dddd")</f>
        <v>Friday</v>
      </c>
    </row>
    <row r="708" spans="1:21" x14ac:dyDescent="0.2">
      <c r="A708" t="s">
        <v>746</v>
      </c>
      <c r="B708" t="s">
        <v>45</v>
      </c>
      <c r="C708" t="s">
        <v>46</v>
      </c>
      <c r="D708" t="s">
        <v>31</v>
      </c>
      <c r="E708" t="s">
        <v>25</v>
      </c>
      <c r="F708" t="s">
        <v>32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27</v>
      </c>
      <c r="N708">
        <v>172</v>
      </c>
      <c r="O708">
        <v>4.7619047620000003</v>
      </c>
      <c r="P708">
        <v>8.6</v>
      </c>
      <c r="Q708">
        <v>7.6</v>
      </c>
      <c r="R708" s="3">
        <f t="shared" si="44"/>
        <v>172</v>
      </c>
      <c r="S708" t="str">
        <f t="shared" si="45"/>
        <v>January</v>
      </c>
      <c r="T708">
        <f t="shared" si="46"/>
        <v>1</v>
      </c>
      <c r="U708" t="str">
        <f t="shared" si="47"/>
        <v>Thursday</v>
      </c>
    </row>
    <row r="709" spans="1:21" x14ac:dyDescent="0.2">
      <c r="A709" t="s">
        <v>747</v>
      </c>
      <c r="B709" t="s">
        <v>29</v>
      </c>
      <c r="C709" t="s">
        <v>30</v>
      </c>
      <c r="D709" t="s">
        <v>24</v>
      </c>
      <c r="E709" t="s">
        <v>181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33</v>
      </c>
      <c r="N709">
        <v>68.98</v>
      </c>
      <c r="O709">
        <v>4.7619047620000003</v>
      </c>
      <c r="P709">
        <v>3.4489999999999998</v>
      </c>
      <c r="Q709">
        <v>4.8</v>
      </c>
      <c r="R709" s="3">
        <f t="shared" si="44"/>
        <v>68.98</v>
      </c>
      <c r="S709" t="str">
        <f t="shared" si="45"/>
        <v>January</v>
      </c>
      <c r="T709">
        <f t="shared" si="46"/>
        <v>1</v>
      </c>
      <c r="U709" t="str">
        <f t="shared" si="47"/>
        <v>Monday</v>
      </c>
    </row>
    <row r="710" spans="1:21" x14ac:dyDescent="0.2">
      <c r="A710" t="s">
        <v>748</v>
      </c>
      <c r="B710" t="s">
        <v>29</v>
      </c>
      <c r="C710" t="s">
        <v>30</v>
      </c>
      <c r="D710" t="s">
        <v>31</v>
      </c>
      <c r="E710" t="s">
        <v>181</v>
      </c>
      <c r="F710" t="s">
        <v>49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27</v>
      </c>
      <c r="N710">
        <v>124.96</v>
      </c>
      <c r="O710">
        <v>4.7619047620000003</v>
      </c>
      <c r="P710">
        <v>6.2480000000000002</v>
      </c>
      <c r="Q710">
        <v>9.1</v>
      </c>
      <c r="R710" s="3">
        <f t="shared" si="44"/>
        <v>124.96</v>
      </c>
      <c r="S710" t="str">
        <f t="shared" si="45"/>
        <v>January</v>
      </c>
      <c r="T710">
        <f t="shared" si="46"/>
        <v>1</v>
      </c>
      <c r="U710" t="str">
        <f t="shared" si="47"/>
        <v>Sunday</v>
      </c>
    </row>
    <row r="711" spans="1:21" x14ac:dyDescent="0.2">
      <c r="A711" t="s">
        <v>749</v>
      </c>
      <c r="B711" t="s">
        <v>22</v>
      </c>
      <c r="C711" t="s">
        <v>23</v>
      </c>
      <c r="D711" t="s">
        <v>31</v>
      </c>
      <c r="E711" t="s">
        <v>181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27</v>
      </c>
      <c r="N711">
        <v>77.099999999999994</v>
      </c>
      <c r="O711">
        <v>4.7619047620000003</v>
      </c>
      <c r="P711">
        <v>3.855</v>
      </c>
      <c r="Q711">
        <v>6.1</v>
      </c>
      <c r="R711" s="3">
        <f t="shared" si="44"/>
        <v>77.099999999999994</v>
      </c>
      <c r="S711" t="str">
        <f t="shared" si="45"/>
        <v>January</v>
      </c>
      <c r="T711">
        <f t="shared" si="46"/>
        <v>1</v>
      </c>
      <c r="U711" t="str">
        <f t="shared" si="47"/>
        <v>Thursday</v>
      </c>
    </row>
    <row r="712" spans="1:21" x14ac:dyDescent="0.2">
      <c r="A712" t="s">
        <v>750</v>
      </c>
      <c r="B712" t="s">
        <v>22</v>
      </c>
      <c r="C712" t="s">
        <v>23</v>
      </c>
      <c r="D712" t="s">
        <v>24</v>
      </c>
      <c r="E712" t="s">
        <v>181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33</v>
      </c>
      <c r="N712">
        <v>483.72</v>
      </c>
      <c r="O712">
        <v>4.7619047620000003</v>
      </c>
      <c r="P712">
        <v>24.186</v>
      </c>
      <c r="Q712">
        <v>9.1</v>
      </c>
      <c r="R712" s="3">
        <f t="shared" si="44"/>
        <v>483.72</v>
      </c>
      <c r="S712" t="str">
        <f t="shared" si="45"/>
        <v>February</v>
      </c>
      <c r="T712">
        <f t="shared" si="46"/>
        <v>2</v>
      </c>
      <c r="U712" t="str">
        <f t="shared" si="47"/>
        <v>Thursday</v>
      </c>
    </row>
    <row r="713" spans="1:21" x14ac:dyDescent="0.2">
      <c r="A713" t="s">
        <v>751</v>
      </c>
      <c r="B713" t="s">
        <v>29</v>
      </c>
      <c r="C713" t="s">
        <v>30</v>
      </c>
      <c r="D713" t="s">
        <v>24</v>
      </c>
      <c r="E713" t="s">
        <v>25</v>
      </c>
      <c r="F713" t="s">
        <v>35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27</v>
      </c>
      <c r="N713">
        <v>302.12</v>
      </c>
      <c r="O713">
        <v>4.7619047620000003</v>
      </c>
      <c r="P713">
        <v>15.106</v>
      </c>
      <c r="Q713">
        <v>8.3000000000000007</v>
      </c>
      <c r="R713" s="3">
        <f t="shared" si="44"/>
        <v>302.12</v>
      </c>
      <c r="S713" t="str">
        <f t="shared" si="45"/>
        <v>March</v>
      </c>
      <c r="T713">
        <f t="shared" si="46"/>
        <v>3</v>
      </c>
      <c r="U713" t="str">
        <f t="shared" si="47"/>
        <v>Tuesday</v>
      </c>
    </row>
    <row r="714" spans="1:21" x14ac:dyDescent="0.2">
      <c r="A714" t="s">
        <v>752</v>
      </c>
      <c r="B714" t="s">
        <v>29</v>
      </c>
      <c r="C714" t="s">
        <v>30</v>
      </c>
      <c r="D714" t="s">
        <v>31</v>
      </c>
      <c r="E714" t="s">
        <v>25</v>
      </c>
      <c r="F714" t="s">
        <v>32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27</v>
      </c>
      <c r="N714">
        <v>698.67</v>
      </c>
      <c r="O714">
        <v>4.7619047620000003</v>
      </c>
      <c r="P714">
        <v>34.933500000000002</v>
      </c>
      <c r="Q714">
        <v>7.2</v>
      </c>
      <c r="R714" s="3">
        <f t="shared" si="44"/>
        <v>698.67</v>
      </c>
      <c r="S714" t="str">
        <f t="shared" si="45"/>
        <v>February</v>
      </c>
      <c r="T714">
        <f t="shared" si="46"/>
        <v>2</v>
      </c>
      <c r="U714" t="str">
        <f t="shared" si="47"/>
        <v>Tuesday</v>
      </c>
    </row>
    <row r="715" spans="1:21" x14ac:dyDescent="0.2">
      <c r="A715" t="s">
        <v>753</v>
      </c>
      <c r="B715" t="s">
        <v>29</v>
      </c>
      <c r="C715" t="s">
        <v>30</v>
      </c>
      <c r="D715" t="s">
        <v>31</v>
      </c>
      <c r="E715" t="s">
        <v>25</v>
      </c>
      <c r="F715" t="s">
        <v>26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27</v>
      </c>
      <c r="N715">
        <v>124.65</v>
      </c>
      <c r="O715">
        <v>4.7619047620000003</v>
      </c>
      <c r="P715">
        <v>6.2324999999999999</v>
      </c>
      <c r="Q715">
        <v>6</v>
      </c>
      <c r="R715" s="3">
        <f t="shared" si="44"/>
        <v>124.64999999999999</v>
      </c>
      <c r="S715" t="str">
        <f t="shared" si="45"/>
        <v>April</v>
      </c>
      <c r="T715">
        <f t="shared" si="46"/>
        <v>4</v>
      </c>
      <c r="U715" t="str">
        <f t="shared" si="47"/>
        <v>Tuesday</v>
      </c>
    </row>
    <row r="716" spans="1:21" x14ac:dyDescent="0.2">
      <c r="A716" t="s">
        <v>754</v>
      </c>
      <c r="B716" t="s">
        <v>29</v>
      </c>
      <c r="C716" t="s">
        <v>30</v>
      </c>
      <c r="D716" t="s">
        <v>24</v>
      </c>
      <c r="E716" t="s">
        <v>181</v>
      </c>
      <c r="F716" t="s">
        <v>49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27</v>
      </c>
      <c r="N716">
        <v>789.6</v>
      </c>
      <c r="O716">
        <v>4.7619047620000003</v>
      </c>
      <c r="P716">
        <v>39.479999999999997</v>
      </c>
      <c r="Q716">
        <v>8.5</v>
      </c>
      <c r="R716" s="3">
        <f t="shared" si="44"/>
        <v>789.6</v>
      </c>
      <c r="S716" t="str">
        <f t="shared" si="45"/>
        <v>January</v>
      </c>
      <c r="T716">
        <f t="shared" si="46"/>
        <v>1</v>
      </c>
      <c r="U716" t="str">
        <f t="shared" si="47"/>
        <v>Thursday</v>
      </c>
    </row>
    <row r="717" spans="1:21" x14ac:dyDescent="0.2">
      <c r="A717" t="s">
        <v>755</v>
      </c>
      <c r="B717" t="s">
        <v>22</v>
      </c>
      <c r="C717" t="s">
        <v>23</v>
      </c>
      <c r="D717" t="s">
        <v>31</v>
      </c>
      <c r="E717" t="s">
        <v>25</v>
      </c>
      <c r="F717" t="s">
        <v>26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  <c r="R717" s="3">
        <f t="shared" si="44"/>
        <v>178.4</v>
      </c>
      <c r="S717" t="str">
        <f t="shared" si="45"/>
        <v>June</v>
      </c>
      <c r="T717">
        <f t="shared" si="46"/>
        <v>6</v>
      </c>
      <c r="U717" t="str">
        <f t="shared" si="47"/>
        <v>Sunday</v>
      </c>
    </row>
    <row r="718" spans="1:21" x14ac:dyDescent="0.2">
      <c r="A718" t="s">
        <v>756</v>
      </c>
      <c r="B718" t="s">
        <v>22</v>
      </c>
      <c r="C718" t="s">
        <v>23</v>
      </c>
      <c r="D718" t="s">
        <v>24</v>
      </c>
      <c r="E718" t="s">
        <v>25</v>
      </c>
      <c r="F718" t="s">
        <v>49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27</v>
      </c>
      <c r="N718">
        <v>500.22</v>
      </c>
      <c r="O718">
        <v>4.7619047620000003</v>
      </c>
      <c r="P718">
        <v>25.010999999999999</v>
      </c>
      <c r="Q718">
        <v>4.5</v>
      </c>
      <c r="R718" s="3">
        <f t="shared" si="44"/>
        <v>500.21999999999997</v>
      </c>
      <c r="S718" t="str">
        <f t="shared" si="45"/>
        <v>March</v>
      </c>
      <c r="T718">
        <f t="shared" si="46"/>
        <v>3</v>
      </c>
      <c r="U718" t="str">
        <f t="shared" si="47"/>
        <v>Thursday</v>
      </c>
    </row>
    <row r="719" spans="1:21" x14ac:dyDescent="0.2">
      <c r="A719" t="s">
        <v>757</v>
      </c>
      <c r="B719" t="s">
        <v>22</v>
      </c>
      <c r="C719" t="s">
        <v>23</v>
      </c>
      <c r="D719" t="s">
        <v>24</v>
      </c>
      <c r="E719" t="s">
        <v>181</v>
      </c>
      <c r="F719" t="s">
        <v>32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  <c r="R719" s="3">
        <f t="shared" si="44"/>
        <v>35.82</v>
      </c>
      <c r="S719" t="str">
        <f t="shared" si="45"/>
        <v>January</v>
      </c>
      <c r="T719">
        <f t="shared" si="46"/>
        <v>1</v>
      </c>
      <c r="U719" t="str">
        <f t="shared" si="47"/>
        <v>Saturday</v>
      </c>
    </row>
    <row r="720" spans="1:21" x14ac:dyDescent="0.2">
      <c r="A720" t="s">
        <v>758</v>
      </c>
      <c r="B720" t="s">
        <v>22</v>
      </c>
      <c r="C720" t="s">
        <v>23</v>
      </c>
      <c r="D720" t="s">
        <v>31</v>
      </c>
      <c r="E720" t="s">
        <v>181</v>
      </c>
      <c r="F720" t="s">
        <v>49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  <c r="R720" s="3">
        <f t="shared" si="44"/>
        <v>136.14000000000001</v>
      </c>
      <c r="S720" t="str">
        <f t="shared" si="45"/>
        <v>February</v>
      </c>
      <c r="T720">
        <f t="shared" si="46"/>
        <v>2</v>
      </c>
      <c r="U720" t="str">
        <f t="shared" si="47"/>
        <v>Sunday</v>
      </c>
    </row>
    <row r="721" spans="1:21" x14ac:dyDescent="0.2">
      <c r="A721" t="s">
        <v>759</v>
      </c>
      <c r="B721" t="s">
        <v>45</v>
      </c>
      <c r="C721" t="s">
        <v>46</v>
      </c>
      <c r="D721" t="s">
        <v>24</v>
      </c>
      <c r="E721" t="s">
        <v>25</v>
      </c>
      <c r="F721" t="s">
        <v>49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  <c r="R721" s="3">
        <f t="shared" si="44"/>
        <v>104.88</v>
      </c>
      <c r="S721" t="str">
        <f t="shared" si="45"/>
        <v>January</v>
      </c>
      <c r="T721">
        <f t="shared" si="46"/>
        <v>1</v>
      </c>
      <c r="U721" t="str">
        <f t="shared" si="47"/>
        <v>Friday</v>
      </c>
    </row>
    <row r="722" spans="1:21" x14ac:dyDescent="0.2">
      <c r="A722" t="s">
        <v>760</v>
      </c>
      <c r="B722" t="s">
        <v>45</v>
      </c>
      <c r="C722" t="s">
        <v>46</v>
      </c>
      <c r="D722" t="s">
        <v>31</v>
      </c>
      <c r="E722" t="s">
        <v>25</v>
      </c>
      <c r="F722" t="s">
        <v>49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33</v>
      </c>
      <c r="N722">
        <v>178.92</v>
      </c>
      <c r="O722">
        <v>4.7619047620000003</v>
      </c>
      <c r="P722">
        <v>8.9459999999999997</v>
      </c>
      <c r="Q722">
        <v>7.1</v>
      </c>
      <c r="R722" s="3">
        <f t="shared" si="44"/>
        <v>178.92</v>
      </c>
      <c r="S722" t="str">
        <f t="shared" si="45"/>
        <v>February</v>
      </c>
      <c r="T722">
        <f t="shared" si="46"/>
        <v>2</v>
      </c>
      <c r="U722" t="str">
        <f t="shared" si="47"/>
        <v>Saturday</v>
      </c>
    </row>
    <row r="723" spans="1:21" x14ac:dyDescent="0.2">
      <c r="A723" t="s">
        <v>761</v>
      </c>
      <c r="B723" t="s">
        <v>29</v>
      </c>
      <c r="C723" t="s">
        <v>30</v>
      </c>
      <c r="D723" t="s">
        <v>24</v>
      </c>
      <c r="E723" t="s">
        <v>25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33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3">
        <f t="shared" si="44"/>
        <v>815.67</v>
      </c>
      <c r="S723" t="str">
        <f t="shared" si="45"/>
        <v>January</v>
      </c>
      <c r="T723">
        <f t="shared" si="46"/>
        <v>1</v>
      </c>
      <c r="U723" t="str">
        <f t="shared" si="47"/>
        <v>Friday</v>
      </c>
    </row>
    <row r="724" spans="1:21" x14ac:dyDescent="0.2">
      <c r="A724" t="s">
        <v>762</v>
      </c>
      <c r="B724" t="s">
        <v>45</v>
      </c>
      <c r="C724" t="s">
        <v>46</v>
      </c>
      <c r="D724" t="s">
        <v>31</v>
      </c>
      <c r="E724" t="s">
        <v>181</v>
      </c>
      <c r="F724" t="s">
        <v>35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  <c r="R724" s="3">
        <f t="shared" si="44"/>
        <v>132.35999999999999</v>
      </c>
      <c r="S724" t="str">
        <f t="shared" si="45"/>
        <v>March</v>
      </c>
      <c r="T724">
        <f t="shared" si="46"/>
        <v>3</v>
      </c>
      <c r="U724" t="str">
        <f t="shared" si="47"/>
        <v>Monday</v>
      </c>
    </row>
    <row r="725" spans="1:21" x14ac:dyDescent="0.2">
      <c r="A725" t="s">
        <v>763</v>
      </c>
      <c r="B725" t="s">
        <v>29</v>
      </c>
      <c r="C725" t="s">
        <v>30</v>
      </c>
      <c r="D725" t="s">
        <v>24</v>
      </c>
      <c r="E725" t="s">
        <v>25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33</v>
      </c>
      <c r="N725">
        <v>257.39</v>
      </c>
      <c r="O725">
        <v>4.7619047620000003</v>
      </c>
      <c r="P725">
        <v>12.8695</v>
      </c>
      <c r="Q725">
        <v>7.4</v>
      </c>
      <c r="R725" s="3">
        <f t="shared" si="44"/>
        <v>257.39000000000004</v>
      </c>
      <c r="S725" t="str">
        <f t="shared" si="45"/>
        <v>November</v>
      </c>
      <c r="T725">
        <f t="shared" si="46"/>
        <v>11</v>
      </c>
      <c r="U725" t="str">
        <f t="shared" si="47"/>
        <v>Friday</v>
      </c>
    </row>
    <row r="726" spans="1:21" x14ac:dyDescent="0.2">
      <c r="A726" t="s">
        <v>764</v>
      </c>
      <c r="B726" t="s">
        <v>45</v>
      </c>
      <c r="C726" t="s">
        <v>46</v>
      </c>
      <c r="D726" t="s">
        <v>24</v>
      </c>
      <c r="E726" t="s">
        <v>181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27</v>
      </c>
      <c r="N726">
        <v>93.36</v>
      </c>
      <c r="O726">
        <v>4.7619047620000003</v>
      </c>
      <c r="P726">
        <v>4.6680000000000001</v>
      </c>
      <c r="Q726">
        <v>7.4</v>
      </c>
      <c r="R726" s="3">
        <f t="shared" si="44"/>
        <v>93.36</v>
      </c>
      <c r="S726" t="str">
        <f t="shared" si="45"/>
        <v>April</v>
      </c>
      <c r="T726">
        <f t="shared" si="46"/>
        <v>4</v>
      </c>
      <c r="U726" t="str">
        <f t="shared" si="47"/>
        <v>Tuesday</v>
      </c>
    </row>
    <row r="727" spans="1:21" x14ac:dyDescent="0.2">
      <c r="A727" t="s">
        <v>765</v>
      </c>
      <c r="B727" t="s">
        <v>29</v>
      </c>
      <c r="C727" t="s">
        <v>30</v>
      </c>
      <c r="D727" t="s">
        <v>24</v>
      </c>
      <c r="E727" t="s">
        <v>25</v>
      </c>
      <c r="F727" t="s">
        <v>26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33</v>
      </c>
      <c r="N727">
        <v>228</v>
      </c>
      <c r="O727">
        <v>4.7619047620000003</v>
      </c>
      <c r="P727">
        <v>11.4</v>
      </c>
      <c r="Q727">
        <v>6.6</v>
      </c>
      <c r="R727" s="3">
        <f t="shared" si="44"/>
        <v>228</v>
      </c>
      <c r="S727" t="str">
        <f t="shared" si="45"/>
        <v>June</v>
      </c>
      <c r="T727">
        <f t="shared" si="46"/>
        <v>6</v>
      </c>
      <c r="U727" t="str">
        <f t="shared" si="47"/>
        <v>Sunday</v>
      </c>
    </row>
    <row r="728" spans="1:21" x14ac:dyDescent="0.2">
      <c r="A728" t="s">
        <v>766</v>
      </c>
      <c r="B728" t="s">
        <v>29</v>
      </c>
      <c r="C728" t="s">
        <v>30</v>
      </c>
      <c r="D728" t="s">
        <v>24</v>
      </c>
      <c r="E728" t="s">
        <v>181</v>
      </c>
      <c r="F728" t="s">
        <v>35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  <c r="R728" s="3">
        <f t="shared" si="44"/>
        <v>166.71</v>
      </c>
      <c r="S728" t="str">
        <f t="shared" si="45"/>
        <v>August</v>
      </c>
      <c r="T728">
        <f t="shared" si="46"/>
        <v>8</v>
      </c>
      <c r="U728" t="str">
        <f t="shared" si="47"/>
        <v>Thursday</v>
      </c>
    </row>
    <row r="729" spans="1:21" x14ac:dyDescent="0.2">
      <c r="A729" t="s">
        <v>767</v>
      </c>
      <c r="B729" t="s">
        <v>45</v>
      </c>
      <c r="C729" t="s">
        <v>46</v>
      </c>
      <c r="D729" t="s">
        <v>31</v>
      </c>
      <c r="E729" t="s">
        <v>181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  <c r="R729" s="3">
        <f t="shared" si="44"/>
        <v>697.4</v>
      </c>
      <c r="S729" t="str">
        <f t="shared" si="45"/>
        <v>May</v>
      </c>
      <c r="T729">
        <f t="shared" si="46"/>
        <v>5</v>
      </c>
      <c r="U729" t="str">
        <f t="shared" si="47"/>
        <v>Friday</v>
      </c>
    </row>
    <row r="730" spans="1:21" x14ac:dyDescent="0.2">
      <c r="A730" t="s">
        <v>768</v>
      </c>
      <c r="B730" t="s">
        <v>29</v>
      </c>
      <c r="C730" t="s">
        <v>30</v>
      </c>
      <c r="D730" t="s">
        <v>31</v>
      </c>
      <c r="E730" t="s">
        <v>181</v>
      </c>
      <c r="F730" t="s">
        <v>49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27</v>
      </c>
      <c r="N730">
        <v>389.04</v>
      </c>
      <c r="O730">
        <v>4.7619047620000003</v>
      </c>
      <c r="P730">
        <v>19.452000000000002</v>
      </c>
      <c r="Q730">
        <v>6.8</v>
      </c>
      <c r="R730" s="3">
        <f t="shared" si="44"/>
        <v>389.04</v>
      </c>
      <c r="S730" t="str">
        <f t="shared" si="45"/>
        <v>March</v>
      </c>
      <c r="T730">
        <f t="shared" si="46"/>
        <v>3</v>
      </c>
      <c r="U730" t="str">
        <f t="shared" si="47"/>
        <v>Saturday</v>
      </c>
    </row>
    <row r="731" spans="1:21" x14ac:dyDescent="0.2">
      <c r="A731" t="s">
        <v>769</v>
      </c>
      <c r="B731" t="s">
        <v>45</v>
      </c>
      <c r="C731" t="s">
        <v>46</v>
      </c>
      <c r="D731" t="s">
        <v>24</v>
      </c>
      <c r="E731" t="s">
        <v>25</v>
      </c>
      <c r="F731" t="s">
        <v>35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33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3">
        <f t="shared" si="44"/>
        <v>365.26</v>
      </c>
      <c r="S731" t="str">
        <f t="shared" si="45"/>
        <v>September</v>
      </c>
      <c r="T731">
        <f t="shared" si="46"/>
        <v>9</v>
      </c>
      <c r="U731" t="str">
        <f t="shared" si="47"/>
        <v>Tuesday</v>
      </c>
    </row>
    <row r="732" spans="1:21" x14ac:dyDescent="0.2">
      <c r="A732" t="s">
        <v>770</v>
      </c>
      <c r="B732" t="s">
        <v>22</v>
      </c>
      <c r="C732" t="s">
        <v>23</v>
      </c>
      <c r="D732" t="s">
        <v>24</v>
      </c>
      <c r="E732" t="s">
        <v>25</v>
      </c>
      <c r="F732" t="s">
        <v>49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3">
        <f t="shared" si="44"/>
        <v>89.28</v>
      </c>
      <c r="S732" t="str">
        <f t="shared" si="45"/>
        <v>January</v>
      </c>
      <c r="T732">
        <f t="shared" si="46"/>
        <v>1</v>
      </c>
      <c r="U732" t="str">
        <f t="shared" si="47"/>
        <v>Thursday</v>
      </c>
    </row>
    <row r="733" spans="1:21" x14ac:dyDescent="0.2">
      <c r="A733" t="s">
        <v>771</v>
      </c>
      <c r="B733" t="s">
        <v>22</v>
      </c>
      <c r="C733" t="s">
        <v>23</v>
      </c>
      <c r="D733" t="s">
        <v>31</v>
      </c>
      <c r="E733" t="s">
        <v>181</v>
      </c>
      <c r="F733" t="s">
        <v>26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27</v>
      </c>
      <c r="N733">
        <v>168</v>
      </c>
      <c r="O733">
        <v>4.7619047620000003</v>
      </c>
      <c r="P733">
        <v>8.4</v>
      </c>
      <c r="Q733">
        <v>4.8</v>
      </c>
      <c r="R733" s="3">
        <f t="shared" si="44"/>
        <v>168</v>
      </c>
      <c r="S733" t="str">
        <f t="shared" si="45"/>
        <v>February</v>
      </c>
      <c r="T733">
        <f t="shared" si="46"/>
        <v>2</v>
      </c>
      <c r="U733" t="str">
        <f t="shared" si="47"/>
        <v>Thursday</v>
      </c>
    </row>
    <row r="734" spans="1:21" x14ac:dyDescent="0.2">
      <c r="A734" t="s">
        <v>772</v>
      </c>
      <c r="B734" t="s">
        <v>22</v>
      </c>
      <c r="C734" t="s">
        <v>23</v>
      </c>
      <c r="D734" t="s">
        <v>24</v>
      </c>
      <c r="E734" t="s">
        <v>181</v>
      </c>
      <c r="F734" t="s">
        <v>49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27</v>
      </c>
      <c r="N734">
        <v>19.7</v>
      </c>
      <c r="O734">
        <v>4.7619047620000003</v>
      </c>
      <c r="P734">
        <v>0.98499999999999999</v>
      </c>
      <c r="Q734">
        <v>9.5</v>
      </c>
      <c r="R734" s="3">
        <f t="shared" si="44"/>
        <v>19.7</v>
      </c>
      <c r="S734" t="str">
        <f t="shared" si="45"/>
        <v>August</v>
      </c>
      <c r="T734">
        <f t="shared" si="46"/>
        <v>8</v>
      </c>
      <c r="U734" t="str">
        <f t="shared" si="47"/>
        <v>Friday</v>
      </c>
    </row>
    <row r="735" spans="1:21" x14ac:dyDescent="0.2">
      <c r="A735" t="s">
        <v>773</v>
      </c>
      <c r="B735" t="s">
        <v>45</v>
      </c>
      <c r="C735" t="s">
        <v>46</v>
      </c>
      <c r="D735" t="s">
        <v>31</v>
      </c>
      <c r="E735" t="s">
        <v>181</v>
      </c>
      <c r="F735" t="s">
        <v>32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27</v>
      </c>
      <c r="N735">
        <v>531.16</v>
      </c>
      <c r="O735">
        <v>4.7619047620000003</v>
      </c>
      <c r="P735">
        <v>26.558</v>
      </c>
      <c r="Q735">
        <v>8.9</v>
      </c>
      <c r="R735" s="3">
        <f t="shared" si="44"/>
        <v>531.16</v>
      </c>
      <c r="S735" t="str">
        <f t="shared" si="45"/>
        <v>January</v>
      </c>
      <c r="T735">
        <f t="shared" si="46"/>
        <v>1</v>
      </c>
      <c r="U735" t="str">
        <f t="shared" si="47"/>
        <v>Thursday</v>
      </c>
    </row>
    <row r="736" spans="1:21" x14ac:dyDescent="0.2">
      <c r="A736" t="s">
        <v>774</v>
      </c>
      <c r="B736" t="s">
        <v>45</v>
      </c>
      <c r="C736" t="s">
        <v>46</v>
      </c>
      <c r="D736" t="s">
        <v>24</v>
      </c>
      <c r="E736" t="s">
        <v>181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27</v>
      </c>
      <c r="N736">
        <v>53.72</v>
      </c>
      <c r="O736">
        <v>4.7619047620000003</v>
      </c>
      <c r="P736">
        <v>2.6859999999999999</v>
      </c>
      <c r="Q736">
        <v>6.4</v>
      </c>
      <c r="R736" s="3">
        <f t="shared" si="44"/>
        <v>53.72</v>
      </c>
      <c r="S736" t="str">
        <f t="shared" si="45"/>
        <v>January</v>
      </c>
      <c r="T736">
        <f t="shared" si="46"/>
        <v>1</v>
      </c>
      <c r="U736" t="str">
        <f t="shared" si="47"/>
        <v>Thursday</v>
      </c>
    </row>
    <row r="737" spans="1:21" x14ac:dyDescent="0.2">
      <c r="A737" t="s">
        <v>775</v>
      </c>
      <c r="B737" t="s">
        <v>29</v>
      </c>
      <c r="C737" t="s">
        <v>30</v>
      </c>
      <c r="D737" t="s">
        <v>24</v>
      </c>
      <c r="E737" t="s">
        <v>181</v>
      </c>
      <c r="F737" t="s">
        <v>26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  <c r="R737" s="3">
        <f t="shared" si="44"/>
        <v>819.5</v>
      </c>
      <c r="S737" t="str">
        <f t="shared" si="45"/>
        <v>October</v>
      </c>
      <c r="T737">
        <f t="shared" si="46"/>
        <v>10</v>
      </c>
      <c r="U737" t="str">
        <f t="shared" si="47"/>
        <v>Thursday</v>
      </c>
    </row>
    <row r="738" spans="1:21" x14ac:dyDescent="0.2">
      <c r="A738" t="s">
        <v>776</v>
      </c>
      <c r="B738" t="s">
        <v>29</v>
      </c>
      <c r="C738" t="s">
        <v>30</v>
      </c>
      <c r="D738" t="s">
        <v>24</v>
      </c>
      <c r="E738" t="s">
        <v>25</v>
      </c>
      <c r="F738" t="s">
        <v>35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  <c r="R738" s="3">
        <f t="shared" si="44"/>
        <v>568.4</v>
      </c>
      <c r="S738" t="str">
        <f t="shared" si="45"/>
        <v>March</v>
      </c>
      <c r="T738">
        <f t="shared" si="46"/>
        <v>3</v>
      </c>
      <c r="U738" t="str">
        <f t="shared" si="47"/>
        <v>Saturday</v>
      </c>
    </row>
    <row r="739" spans="1:21" x14ac:dyDescent="0.2">
      <c r="A739" t="s">
        <v>777</v>
      </c>
      <c r="B739" t="s">
        <v>29</v>
      </c>
      <c r="C739" t="s">
        <v>30</v>
      </c>
      <c r="D739" t="s">
        <v>31</v>
      </c>
      <c r="E739" t="s">
        <v>181</v>
      </c>
      <c r="F739" t="s">
        <v>32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27</v>
      </c>
      <c r="N739">
        <v>587.6</v>
      </c>
      <c r="O739">
        <v>4.7619047620000003</v>
      </c>
      <c r="P739">
        <v>29.38</v>
      </c>
      <c r="Q739">
        <v>9</v>
      </c>
      <c r="R739" s="3">
        <f t="shared" si="44"/>
        <v>587.6</v>
      </c>
      <c r="S739" t="str">
        <f t="shared" si="45"/>
        <v>January</v>
      </c>
      <c r="T739">
        <f t="shared" si="46"/>
        <v>1</v>
      </c>
      <c r="U739" t="str">
        <f t="shared" si="47"/>
        <v>Tuesday</v>
      </c>
    </row>
    <row r="740" spans="1:21" x14ac:dyDescent="0.2">
      <c r="A740" t="s">
        <v>778</v>
      </c>
      <c r="B740" t="s">
        <v>45</v>
      </c>
      <c r="C740" t="s">
        <v>46</v>
      </c>
      <c r="D740" t="s">
        <v>24</v>
      </c>
      <c r="E740" t="s">
        <v>181</v>
      </c>
      <c r="F740" t="s">
        <v>32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27</v>
      </c>
      <c r="N740">
        <v>732.48</v>
      </c>
      <c r="O740">
        <v>4.7619047620000003</v>
      </c>
      <c r="P740">
        <v>36.624000000000002</v>
      </c>
      <c r="Q740">
        <v>6</v>
      </c>
      <c r="R740" s="3">
        <f t="shared" si="44"/>
        <v>732.48</v>
      </c>
      <c r="S740" t="str">
        <f t="shared" si="45"/>
        <v>December</v>
      </c>
      <c r="T740">
        <f t="shared" si="46"/>
        <v>12</v>
      </c>
      <c r="U740" t="str">
        <f t="shared" si="47"/>
        <v>Sunday</v>
      </c>
    </row>
    <row r="741" spans="1:21" x14ac:dyDescent="0.2">
      <c r="A741" t="s">
        <v>779</v>
      </c>
      <c r="B741" t="s">
        <v>22</v>
      </c>
      <c r="C741" t="s">
        <v>23</v>
      </c>
      <c r="D741" t="s">
        <v>31</v>
      </c>
      <c r="E741" t="s">
        <v>181</v>
      </c>
      <c r="F741" t="s">
        <v>35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33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3">
        <f t="shared" si="44"/>
        <v>845.64</v>
      </c>
      <c r="S741" t="str">
        <f t="shared" si="45"/>
        <v>March</v>
      </c>
      <c r="T741">
        <f t="shared" si="46"/>
        <v>3</v>
      </c>
      <c r="U741" t="str">
        <f t="shared" si="47"/>
        <v>Wednesday</v>
      </c>
    </row>
    <row r="742" spans="1:21" x14ac:dyDescent="0.2">
      <c r="A742" t="s">
        <v>780</v>
      </c>
      <c r="B742" t="s">
        <v>29</v>
      </c>
      <c r="C742" t="s">
        <v>30</v>
      </c>
      <c r="D742" t="s">
        <v>31</v>
      </c>
      <c r="E742" t="s">
        <v>181</v>
      </c>
      <c r="F742" t="s">
        <v>35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33</v>
      </c>
      <c r="N742">
        <v>389.27</v>
      </c>
      <c r="O742">
        <v>4.7619047620000003</v>
      </c>
      <c r="P742">
        <v>19.4635</v>
      </c>
      <c r="Q742">
        <v>8.5</v>
      </c>
      <c r="R742" s="3">
        <f t="shared" si="44"/>
        <v>389.27</v>
      </c>
      <c r="S742" t="str">
        <f t="shared" si="45"/>
        <v>March</v>
      </c>
      <c r="T742">
        <f t="shared" si="46"/>
        <v>3</v>
      </c>
      <c r="U742" t="str">
        <f t="shared" si="47"/>
        <v>Saturday</v>
      </c>
    </row>
    <row r="743" spans="1:21" x14ac:dyDescent="0.2">
      <c r="A743" t="s">
        <v>781</v>
      </c>
      <c r="B743" t="s">
        <v>29</v>
      </c>
      <c r="C743" t="s">
        <v>30</v>
      </c>
      <c r="D743" t="s">
        <v>31</v>
      </c>
      <c r="E743" t="s">
        <v>181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27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3">
        <f t="shared" si="44"/>
        <v>84.83</v>
      </c>
      <c r="S743" t="str">
        <f t="shared" si="45"/>
        <v>January</v>
      </c>
      <c r="T743">
        <f t="shared" si="46"/>
        <v>1</v>
      </c>
      <c r="U743" t="str">
        <f t="shared" si="47"/>
        <v>Monday</v>
      </c>
    </row>
    <row r="744" spans="1:21" x14ac:dyDescent="0.2">
      <c r="A744" t="s">
        <v>782</v>
      </c>
      <c r="B744" t="s">
        <v>22</v>
      </c>
      <c r="C744" t="s">
        <v>23</v>
      </c>
      <c r="D744" t="s">
        <v>24</v>
      </c>
      <c r="E744" t="s">
        <v>25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27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3">
        <f t="shared" si="44"/>
        <v>143.26</v>
      </c>
      <c r="S744" t="str">
        <f t="shared" si="45"/>
        <v>December</v>
      </c>
      <c r="T744">
        <f t="shared" si="46"/>
        <v>12</v>
      </c>
      <c r="U744" t="str">
        <f t="shared" si="47"/>
        <v>Monday</v>
      </c>
    </row>
    <row r="745" spans="1:21" x14ac:dyDescent="0.2">
      <c r="A745" t="s">
        <v>783</v>
      </c>
      <c r="B745" t="s">
        <v>22</v>
      </c>
      <c r="C745" t="s">
        <v>23</v>
      </c>
      <c r="D745" t="s">
        <v>24</v>
      </c>
      <c r="E745" t="s">
        <v>181</v>
      </c>
      <c r="F745" t="s">
        <v>35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27</v>
      </c>
      <c r="N745">
        <v>75.38</v>
      </c>
      <c r="O745">
        <v>4.7619047620000003</v>
      </c>
      <c r="P745">
        <v>3.7690000000000001</v>
      </c>
      <c r="Q745">
        <v>9.5</v>
      </c>
      <c r="R745" s="3">
        <f t="shared" si="44"/>
        <v>75.38</v>
      </c>
      <c r="S745" t="str">
        <f t="shared" si="45"/>
        <v>February</v>
      </c>
      <c r="T745">
        <f t="shared" si="46"/>
        <v>2</v>
      </c>
      <c r="U745" t="str">
        <f t="shared" si="47"/>
        <v>Wednesday</v>
      </c>
    </row>
    <row r="746" spans="1:21" x14ac:dyDescent="0.2">
      <c r="A746" t="s">
        <v>784</v>
      </c>
      <c r="B746" t="s">
        <v>29</v>
      </c>
      <c r="C746" t="s">
        <v>30</v>
      </c>
      <c r="D746" t="s">
        <v>24</v>
      </c>
      <c r="E746" t="s">
        <v>25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  <c r="R746" s="3">
        <f t="shared" si="44"/>
        <v>253.36</v>
      </c>
      <c r="S746" t="str">
        <f t="shared" si="45"/>
        <v>February</v>
      </c>
      <c r="T746">
        <f t="shared" si="46"/>
        <v>2</v>
      </c>
      <c r="U746" t="str">
        <f t="shared" si="47"/>
        <v>Friday</v>
      </c>
    </row>
    <row r="747" spans="1:21" x14ac:dyDescent="0.2">
      <c r="A747" t="s">
        <v>785</v>
      </c>
      <c r="B747" t="s">
        <v>29</v>
      </c>
      <c r="C747" t="s">
        <v>30</v>
      </c>
      <c r="D747" t="s">
        <v>24</v>
      </c>
      <c r="E747" t="s">
        <v>25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33</v>
      </c>
      <c r="N747">
        <v>38.42</v>
      </c>
      <c r="O747">
        <v>4.7619047620000003</v>
      </c>
      <c r="P747">
        <v>1.921</v>
      </c>
      <c r="Q747">
        <v>8.6</v>
      </c>
      <c r="R747" s="3">
        <f t="shared" si="44"/>
        <v>38.42</v>
      </c>
      <c r="S747" t="str">
        <f t="shared" si="45"/>
        <v>February</v>
      </c>
      <c r="T747">
        <f t="shared" si="46"/>
        <v>2</v>
      </c>
      <c r="U747" t="str">
        <f t="shared" si="47"/>
        <v>Saturday</v>
      </c>
    </row>
    <row r="748" spans="1:21" x14ac:dyDescent="0.2">
      <c r="A748" t="s">
        <v>786</v>
      </c>
      <c r="B748" t="s">
        <v>45</v>
      </c>
      <c r="C748" t="s">
        <v>46</v>
      </c>
      <c r="D748" t="s">
        <v>24</v>
      </c>
      <c r="E748" t="s">
        <v>181</v>
      </c>
      <c r="F748" t="s">
        <v>49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  <c r="R748" s="3">
        <f t="shared" si="44"/>
        <v>652.30000000000007</v>
      </c>
      <c r="S748" t="str">
        <f t="shared" si="45"/>
        <v>August</v>
      </c>
      <c r="T748">
        <f t="shared" si="46"/>
        <v>8</v>
      </c>
      <c r="U748" t="str">
        <f t="shared" si="47"/>
        <v>Thursday</v>
      </c>
    </row>
    <row r="749" spans="1:21" x14ac:dyDescent="0.2">
      <c r="A749" t="s">
        <v>787</v>
      </c>
      <c r="B749" t="s">
        <v>29</v>
      </c>
      <c r="C749" t="s">
        <v>30</v>
      </c>
      <c r="D749" t="s">
        <v>24</v>
      </c>
      <c r="E749" t="s">
        <v>25</v>
      </c>
      <c r="F749" t="s">
        <v>35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  <c r="R749" s="3">
        <f t="shared" si="44"/>
        <v>52.65</v>
      </c>
      <c r="S749" t="str">
        <f t="shared" si="45"/>
        <v>January</v>
      </c>
      <c r="T749">
        <f t="shared" si="46"/>
        <v>1</v>
      </c>
      <c r="U749" t="str">
        <f t="shared" si="47"/>
        <v>Wednesday</v>
      </c>
    </row>
    <row r="750" spans="1:21" x14ac:dyDescent="0.2">
      <c r="A750" t="s">
        <v>788</v>
      </c>
      <c r="B750" t="s">
        <v>45</v>
      </c>
      <c r="C750" t="s">
        <v>46</v>
      </c>
      <c r="D750" t="s">
        <v>24</v>
      </c>
      <c r="E750" t="s">
        <v>25</v>
      </c>
      <c r="F750" t="s">
        <v>35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  <c r="R750" s="3">
        <f t="shared" si="44"/>
        <v>110.60999999999999</v>
      </c>
      <c r="S750" t="str">
        <f t="shared" si="45"/>
        <v>March</v>
      </c>
      <c r="T750">
        <f t="shared" si="46"/>
        <v>3</v>
      </c>
      <c r="U750" t="str">
        <f t="shared" si="47"/>
        <v>Tuesday</v>
      </c>
    </row>
    <row r="751" spans="1:21" x14ac:dyDescent="0.2">
      <c r="A751" t="s">
        <v>789</v>
      </c>
      <c r="B751" t="s">
        <v>29</v>
      </c>
      <c r="C751" t="s">
        <v>30</v>
      </c>
      <c r="D751" t="s">
        <v>24</v>
      </c>
      <c r="E751" t="s">
        <v>181</v>
      </c>
      <c r="F751" t="s">
        <v>26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33</v>
      </c>
      <c r="N751">
        <v>568.61</v>
      </c>
      <c r="O751">
        <v>4.7619047620000003</v>
      </c>
      <c r="P751">
        <v>28.430499999999999</v>
      </c>
      <c r="Q751">
        <v>9</v>
      </c>
      <c r="R751" s="3">
        <f t="shared" si="44"/>
        <v>568.61</v>
      </c>
      <c r="S751" t="str">
        <f t="shared" si="45"/>
        <v>January</v>
      </c>
      <c r="T751">
        <f t="shared" si="46"/>
        <v>1</v>
      </c>
      <c r="U751" t="str">
        <f t="shared" si="47"/>
        <v>Tuesday</v>
      </c>
    </row>
    <row r="752" spans="1:21" x14ac:dyDescent="0.2">
      <c r="A752" t="s">
        <v>790</v>
      </c>
      <c r="B752" t="s">
        <v>45</v>
      </c>
      <c r="C752" t="s">
        <v>46</v>
      </c>
      <c r="D752" t="s">
        <v>24</v>
      </c>
      <c r="E752" t="s">
        <v>25</v>
      </c>
      <c r="F752" t="s">
        <v>49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27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3">
        <f t="shared" si="44"/>
        <v>89.28</v>
      </c>
      <c r="S752" t="str">
        <f t="shared" si="45"/>
        <v>March</v>
      </c>
      <c r="T752">
        <f t="shared" si="46"/>
        <v>3</v>
      </c>
      <c r="U752" t="str">
        <f t="shared" si="47"/>
        <v>Thursday</v>
      </c>
    </row>
    <row r="753" spans="1:21" x14ac:dyDescent="0.2">
      <c r="A753" t="s">
        <v>791</v>
      </c>
      <c r="B753" t="s">
        <v>22</v>
      </c>
      <c r="C753" t="s">
        <v>23</v>
      </c>
      <c r="D753" t="s">
        <v>31</v>
      </c>
      <c r="E753" t="s">
        <v>25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  <c r="R753" s="3">
        <f t="shared" si="44"/>
        <v>136.4</v>
      </c>
      <c r="S753" t="str">
        <f t="shared" si="45"/>
        <v>March</v>
      </c>
      <c r="T753">
        <f t="shared" si="46"/>
        <v>3</v>
      </c>
      <c r="U753" t="str">
        <f t="shared" si="47"/>
        <v>Saturday</v>
      </c>
    </row>
    <row r="754" spans="1:21" x14ac:dyDescent="0.2">
      <c r="A754" t="s">
        <v>792</v>
      </c>
      <c r="B754" t="s">
        <v>22</v>
      </c>
      <c r="C754" t="s">
        <v>23</v>
      </c>
      <c r="D754" t="s">
        <v>24</v>
      </c>
      <c r="E754" t="s">
        <v>25</v>
      </c>
      <c r="F754" t="s">
        <v>32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27</v>
      </c>
      <c r="N754">
        <v>174.2</v>
      </c>
      <c r="O754">
        <v>4.7619047620000003</v>
      </c>
      <c r="P754">
        <v>8.7100000000000009</v>
      </c>
      <c r="Q754">
        <v>7</v>
      </c>
      <c r="R754" s="3">
        <f t="shared" si="44"/>
        <v>174.20000000000002</v>
      </c>
      <c r="S754" t="str">
        <f t="shared" si="45"/>
        <v>February</v>
      </c>
      <c r="T754">
        <f t="shared" si="46"/>
        <v>2</v>
      </c>
      <c r="U754" t="str">
        <f t="shared" si="47"/>
        <v>Friday</v>
      </c>
    </row>
    <row r="755" spans="1:21" x14ac:dyDescent="0.2">
      <c r="A755" t="s">
        <v>793</v>
      </c>
      <c r="B755" t="s">
        <v>45</v>
      </c>
      <c r="C755" t="s">
        <v>46</v>
      </c>
      <c r="D755" t="s">
        <v>31</v>
      </c>
      <c r="E755" t="s">
        <v>181</v>
      </c>
      <c r="F755" t="s">
        <v>35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27</v>
      </c>
      <c r="N755">
        <v>366.4</v>
      </c>
      <c r="O755">
        <v>4.7619047620000003</v>
      </c>
      <c r="P755">
        <v>18.32</v>
      </c>
      <c r="Q755">
        <v>8.4</v>
      </c>
      <c r="R755" s="3">
        <f t="shared" si="44"/>
        <v>366.4</v>
      </c>
      <c r="S755" t="str">
        <f t="shared" si="45"/>
        <v>January</v>
      </c>
      <c r="T755">
        <f t="shared" si="46"/>
        <v>1</v>
      </c>
      <c r="U755" t="str">
        <f t="shared" si="47"/>
        <v>Thursday</v>
      </c>
    </row>
    <row r="756" spans="1:21" x14ac:dyDescent="0.2">
      <c r="A756" t="s">
        <v>794</v>
      </c>
      <c r="B756" t="s">
        <v>29</v>
      </c>
      <c r="C756" t="s">
        <v>30</v>
      </c>
      <c r="D756" t="s">
        <v>24</v>
      </c>
      <c r="E756" t="s">
        <v>25</v>
      </c>
      <c r="F756" t="s">
        <v>49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27</v>
      </c>
      <c r="N756">
        <v>254.61</v>
      </c>
      <c r="O756">
        <v>4.7619047620000003</v>
      </c>
      <c r="P756">
        <v>12.730499999999999</v>
      </c>
      <c r="Q756">
        <v>7.4</v>
      </c>
      <c r="R756" s="3">
        <f t="shared" si="44"/>
        <v>254.61</v>
      </c>
      <c r="S756" t="str">
        <f t="shared" si="45"/>
        <v>January</v>
      </c>
      <c r="T756">
        <f t="shared" si="46"/>
        <v>1</v>
      </c>
      <c r="U756" t="str">
        <f t="shared" si="47"/>
        <v>Friday</v>
      </c>
    </row>
    <row r="757" spans="1:21" x14ac:dyDescent="0.2">
      <c r="A757" t="s">
        <v>795</v>
      </c>
      <c r="B757" t="s">
        <v>22</v>
      </c>
      <c r="C757" t="s">
        <v>23</v>
      </c>
      <c r="D757" t="s">
        <v>31</v>
      </c>
      <c r="E757" t="s">
        <v>25</v>
      </c>
      <c r="F757" t="s">
        <v>49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  <c r="R757" s="3">
        <f t="shared" si="44"/>
        <v>778.32</v>
      </c>
      <c r="S757" t="str">
        <f t="shared" si="45"/>
        <v>September</v>
      </c>
      <c r="T757">
        <f t="shared" si="46"/>
        <v>9</v>
      </c>
      <c r="U757" t="str">
        <f t="shared" si="47"/>
        <v>Tuesday</v>
      </c>
    </row>
    <row r="758" spans="1:21" x14ac:dyDescent="0.2">
      <c r="A758" t="s">
        <v>796</v>
      </c>
      <c r="B758" t="s">
        <v>45</v>
      </c>
      <c r="C758" t="s">
        <v>46</v>
      </c>
      <c r="D758" t="s">
        <v>24</v>
      </c>
      <c r="E758" t="s">
        <v>25</v>
      </c>
      <c r="F758" t="s">
        <v>32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27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3">
        <f t="shared" si="44"/>
        <v>285.92</v>
      </c>
      <c r="S758" t="str">
        <f t="shared" si="45"/>
        <v>February</v>
      </c>
      <c r="T758">
        <f t="shared" si="46"/>
        <v>2</v>
      </c>
      <c r="U758" t="str">
        <f t="shared" si="47"/>
        <v>Sunday</v>
      </c>
    </row>
    <row r="759" spans="1:21" x14ac:dyDescent="0.2">
      <c r="A759" t="s">
        <v>797</v>
      </c>
      <c r="B759" t="s">
        <v>22</v>
      </c>
      <c r="C759" t="s">
        <v>23</v>
      </c>
      <c r="D759" t="s">
        <v>31</v>
      </c>
      <c r="E759" t="s">
        <v>25</v>
      </c>
      <c r="F759" t="s">
        <v>35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33</v>
      </c>
      <c r="N759">
        <v>579.12</v>
      </c>
      <c r="O759">
        <v>4.7619047620000003</v>
      </c>
      <c r="P759">
        <v>28.956</v>
      </c>
      <c r="Q759">
        <v>4.5</v>
      </c>
      <c r="R759" s="3">
        <f t="shared" si="44"/>
        <v>579.12</v>
      </c>
      <c r="S759" t="str">
        <f t="shared" si="45"/>
        <v>November</v>
      </c>
      <c r="T759">
        <f t="shared" si="46"/>
        <v>11</v>
      </c>
      <c r="U759" t="str">
        <f t="shared" si="47"/>
        <v>Friday</v>
      </c>
    </row>
    <row r="760" spans="1:21" x14ac:dyDescent="0.2">
      <c r="A760" t="s">
        <v>798</v>
      </c>
      <c r="B760" t="s">
        <v>22</v>
      </c>
      <c r="C760" t="s">
        <v>23</v>
      </c>
      <c r="D760" t="s">
        <v>24</v>
      </c>
      <c r="E760" t="s">
        <v>181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27</v>
      </c>
      <c r="N760">
        <v>188.5</v>
      </c>
      <c r="O760">
        <v>4.7619047620000003</v>
      </c>
      <c r="P760">
        <v>9.4250000000000007</v>
      </c>
      <c r="Q760">
        <v>5.6</v>
      </c>
      <c r="R760" s="3">
        <f t="shared" si="44"/>
        <v>188.5</v>
      </c>
      <c r="S760" t="str">
        <f t="shared" si="45"/>
        <v>February</v>
      </c>
      <c r="T760">
        <f t="shared" si="46"/>
        <v>2</v>
      </c>
      <c r="U760" t="str">
        <f t="shared" si="47"/>
        <v>Wednesday</v>
      </c>
    </row>
    <row r="761" spans="1:21" x14ac:dyDescent="0.2">
      <c r="A761" t="s">
        <v>799</v>
      </c>
      <c r="B761" t="s">
        <v>22</v>
      </c>
      <c r="C761" t="s">
        <v>23</v>
      </c>
      <c r="D761" t="s">
        <v>31</v>
      </c>
      <c r="E761" t="s">
        <v>25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27</v>
      </c>
      <c r="N761">
        <v>221.56</v>
      </c>
      <c r="O761">
        <v>4.7619047620000003</v>
      </c>
      <c r="P761">
        <v>11.077999999999999</v>
      </c>
      <c r="Q761">
        <v>8</v>
      </c>
      <c r="R761" s="3">
        <f t="shared" si="44"/>
        <v>221.56</v>
      </c>
      <c r="S761" t="str">
        <f t="shared" si="45"/>
        <v>March</v>
      </c>
      <c r="T761">
        <f t="shared" si="46"/>
        <v>3</v>
      </c>
      <c r="U761" t="str">
        <f t="shared" si="47"/>
        <v>Monday</v>
      </c>
    </row>
    <row r="762" spans="1:21" x14ac:dyDescent="0.2">
      <c r="A762" t="s">
        <v>800</v>
      </c>
      <c r="B762" t="s">
        <v>45</v>
      </c>
      <c r="C762" t="s">
        <v>46</v>
      </c>
      <c r="D762" t="s">
        <v>24</v>
      </c>
      <c r="E762" t="s">
        <v>25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  <c r="R762" s="3">
        <f t="shared" si="44"/>
        <v>772</v>
      </c>
      <c r="S762" t="str">
        <f t="shared" si="45"/>
        <v>November</v>
      </c>
      <c r="T762">
        <f t="shared" si="46"/>
        <v>11</v>
      </c>
      <c r="U762" t="str">
        <f t="shared" si="47"/>
        <v>Saturday</v>
      </c>
    </row>
    <row r="763" spans="1:21" x14ac:dyDescent="0.2">
      <c r="A763" t="s">
        <v>801</v>
      </c>
      <c r="B763" t="s">
        <v>45</v>
      </c>
      <c r="C763" t="s">
        <v>46</v>
      </c>
      <c r="D763" t="s">
        <v>31</v>
      </c>
      <c r="E763" t="s">
        <v>181</v>
      </c>
      <c r="F763" t="s">
        <v>32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  <c r="R763" s="3">
        <f t="shared" si="44"/>
        <v>721.3</v>
      </c>
      <c r="S763" t="str">
        <f t="shared" si="45"/>
        <v>January</v>
      </c>
      <c r="T763">
        <f t="shared" si="46"/>
        <v>1</v>
      </c>
      <c r="U763" t="str">
        <f t="shared" si="47"/>
        <v>Thursday</v>
      </c>
    </row>
    <row r="764" spans="1:21" x14ac:dyDescent="0.2">
      <c r="A764" t="s">
        <v>802</v>
      </c>
      <c r="B764" t="s">
        <v>22</v>
      </c>
      <c r="C764" t="s">
        <v>23</v>
      </c>
      <c r="D764" t="s">
        <v>24</v>
      </c>
      <c r="E764" t="s">
        <v>25</v>
      </c>
      <c r="F764" t="s">
        <v>49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27</v>
      </c>
      <c r="N764">
        <v>511.04</v>
      </c>
      <c r="O764">
        <v>4.7619047620000003</v>
      </c>
      <c r="P764">
        <v>25.552</v>
      </c>
      <c r="Q764">
        <v>9.9</v>
      </c>
      <c r="R764" s="3">
        <f t="shared" si="44"/>
        <v>511.04</v>
      </c>
      <c r="S764" t="str">
        <f t="shared" si="45"/>
        <v>January</v>
      </c>
      <c r="T764">
        <f t="shared" si="46"/>
        <v>1</v>
      </c>
      <c r="U764" t="str">
        <f t="shared" si="47"/>
        <v>Sunday</v>
      </c>
    </row>
    <row r="765" spans="1:21" x14ac:dyDescent="0.2">
      <c r="A765" t="s">
        <v>803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27</v>
      </c>
      <c r="N765">
        <v>53.45</v>
      </c>
      <c r="O765">
        <v>4.7619047620000003</v>
      </c>
      <c r="P765">
        <v>2.6724999999999999</v>
      </c>
      <c r="Q765">
        <v>7.6</v>
      </c>
      <c r="R765" s="3">
        <f t="shared" si="44"/>
        <v>53.449999999999996</v>
      </c>
      <c r="S765" t="str">
        <f t="shared" si="45"/>
        <v>March</v>
      </c>
      <c r="T765">
        <f t="shared" si="46"/>
        <v>3</v>
      </c>
      <c r="U765" t="str">
        <f t="shared" si="47"/>
        <v>Tuesday</v>
      </c>
    </row>
    <row r="766" spans="1:21" x14ac:dyDescent="0.2">
      <c r="A766" t="s">
        <v>804</v>
      </c>
      <c r="B766" t="s">
        <v>22</v>
      </c>
      <c r="C766" t="s">
        <v>23</v>
      </c>
      <c r="D766" t="s">
        <v>24</v>
      </c>
      <c r="E766" t="s">
        <v>181</v>
      </c>
      <c r="F766" t="s">
        <v>26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  <c r="R766" s="3">
        <f t="shared" si="44"/>
        <v>222</v>
      </c>
      <c r="S766" t="str">
        <f t="shared" si="45"/>
        <v>January</v>
      </c>
      <c r="T766">
        <f t="shared" si="46"/>
        <v>1</v>
      </c>
      <c r="U766" t="str">
        <f t="shared" si="47"/>
        <v>Sunday</v>
      </c>
    </row>
    <row r="767" spans="1:21" x14ac:dyDescent="0.2">
      <c r="A767" t="s">
        <v>805</v>
      </c>
      <c r="B767" t="s">
        <v>45</v>
      </c>
      <c r="C767" t="s">
        <v>46</v>
      </c>
      <c r="D767" t="s">
        <v>31</v>
      </c>
      <c r="E767" t="s">
        <v>25</v>
      </c>
      <c r="F767" t="s">
        <v>35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27</v>
      </c>
      <c r="N767">
        <v>763.68</v>
      </c>
      <c r="O767">
        <v>4.7619047620000003</v>
      </c>
      <c r="P767">
        <v>38.183999999999997</v>
      </c>
      <c r="Q767">
        <v>4.7</v>
      </c>
      <c r="R767" s="3">
        <f t="shared" si="44"/>
        <v>763.68</v>
      </c>
      <c r="S767" t="str">
        <f t="shared" si="45"/>
        <v>May</v>
      </c>
      <c r="T767">
        <f t="shared" si="46"/>
        <v>5</v>
      </c>
      <c r="U767" t="str">
        <f t="shared" si="47"/>
        <v>Friday</v>
      </c>
    </row>
    <row r="768" spans="1:21" x14ac:dyDescent="0.2">
      <c r="A768" t="s">
        <v>806</v>
      </c>
      <c r="B768" t="s">
        <v>29</v>
      </c>
      <c r="C768" t="s">
        <v>30</v>
      </c>
      <c r="D768" t="s">
        <v>31</v>
      </c>
      <c r="E768" t="s">
        <v>25</v>
      </c>
      <c r="F768" t="s">
        <v>49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3">
        <f t="shared" si="44"/>
        <v>228.18</v>
      </c>
      <c r="S768" t="str">
        <f t="shared" si="45"/>
        <v>May</v>
      </c>
      <c r="T768">
        <f t="shared" si="46"/>
        <v>5</v>
      </c>
      <c r="U768" t="str">
        <f t="shared" si="47"/>
        <v>Wednesday</v>
      </c>
    </row>
    <row r="769" spans="1:21" x14ac:dyDescent="0.2">
      <c r="A769" t="s">
        <v>807</v>
      </c>
      <c r="B769" t="s">
        <v>45</v>
      </c>
      <c r="C769" t="s">
        <v>46</v>
      </c>
      <c r="D769" t="s">
        <v>31</v>
      </c>
      <c r="E769" t="s">
        <v>181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33</v>
      </c>
      <c r="N769">
        <v>82.14</v>
      </c>
      <c r="O769">
        <v>4.7619047620000003</v>
      </c>
      <c r="P769">
        <v>4.1070000000000002</v>
      </c>
      <c r="Q769">
        <v>6.3</v>
      </c>
      <c r="R769" s="3">
        <f t="shared" si="44"/>
        <v>82.14</v>
      </c>
      <c r="S769" t="str">
        <f t="shared" si="45"/>
        <v>February</v>
      </c>
      <c r="T769">
        <f t="shared" si="46"/>
        <v>2</v>
      </c>
      <c r="U769" t="str">
        <f t="shared" si="47"/>
        <v>Wednesday</v>
      </c>
    </row>
    <row r="770" spans="1:21" x14ac:dyDescent="0.2">
      <c r="A770" t="s">
        <v>808</v>
      </c>
      <c r="B770" t="s">
        <v>45</v>
      </c>
      <c r="C770" t="s">
        <v>46</v>
      </c>
      <c r="D770" t="s">
        <v>31</v>
      </c>
      <c r="E770" t="s">
        <v>25</v>
      </c>
      <c r="F770" t="s">
        <v>32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33</v>
      </c>
      <c r="N770">
        <v>382.56</v>
      </c>
      <c r="O770">
        <v>4.7619047620000003</v>
      </c>
      <c r="P770">
        <v>19.128</v>
      </c>
      <c r="Q770">
        <v>7.9</v>
      </c>
      <c r="R770" s="3">
        <f t="shared" si="44"/>
        <v>382.56</v>
      </c>
      <c r="S770" t="str">
        <f t="shared" si="45"/>
        <v>March</v>
      </c>
      <c r="T770">
        <f t="shared" si="46"/>
        <v>3</v>
      </c>
      <c r="U770" t="str">
        <f t="shared" si="47"/>
        <v>Saturday</v>
      </c>
    </row>
    <row r="771" spans="1:21" x14ac:dyDescent="0.2">
      <c r="A771" t="s">
        <v>809</v>
      </c>
      <c r="B771" t="s">
        <v>22</v>
      </c>
      <c r="C771" t="s">
        <v>23</v>
      </c>
      <c r="D771" t="s">
        <v>31</v>
      </c>
      <c r="E771" t="s">
        <v>25</v>
      </c>
      <c r="F771" t="s">
        <v>35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33</v>
      </c>
      <c r="N771">
        <v>68.58</v>
      </c>
      <c r="O771">
        <v>4.7619047620000003</v>
      </c>
      <c r="P771">
        <v>3.4289999999999998</v>
      </c>
      <c r="Q771">
        <v>7.7</v>
      </c>
      <c r="R771" s="3">
        <f t="shared" ref="R771:R834" si="48">H771*G771</f>
        <v>68.58</v>
      </c>
      <c r="S771" t="str">
        <f t="shared" ref="S771:S834" si="49">TEXT(K771,"mmmm")</f>
        <v>January</v>
      </c>
      <c r="T771">
        <f t="shared" ref="T771:T834" si="50">MONTH(K771)</f>
        <v>1</v>
      </c>
      <c r="U771" t="str">
        <f t="shared" ref="U771:U834" si="51">TEXT(K771,"dddd")</f>
        <v>Tuesday</v>
      </c>
    </row>
    <row r="772" spans="1:21" x14ac:dyDescent="0.2">
      <c r="A772" t="s">
        <v>810</v>
      </c>
      <c r="B772" t="s">
        <v>45</v>
      </c>
      <c r="C772" t="s">
        <v>46</v>
      </c>
      <c r="D772" t="s">
        <v>24</v>
      </c>
      <c r="E772" t="s">
        <v>25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27</v>
      </c>
      <c r="N772">
        <v>382.16</v>
      </c>
      <c r="O772">
        <v>4.7619047620000003</v>
      </c>
      <c r="P772">
        <v>19.108000000000001</v>
      </c>
      <c r="Q772">
        <v>4.5</v>
      </c>
      <c r="R772" s="3">
        <f t="shared" si="48"/>
        <v>382.16</v>
      </c>
      <c r="S772" t="str">
        <f t="shared" si="49"/>
        <v>February</v>
      </c>
      <c r="T772">
        <f t="shared" si="50"/>
        <v>2</v>
      </c>
      <c r="U772" t="str">
        <f t="shared" si="51"/>
        <v>Tuesday</v>
      </c>
    </row>
    <row r="773" spans="1:21" x14ac:dyDescent="0.2">
      <c r="A773" t="s">
        <v>811</v>
      </c>
      <c r="B773" t="s">
        <v>29</v>
      </c>
      <c r="C773" t="s">
        <v>30</v>
      </c>
      <c r="D773" t="s">
        <v>24</v>
      </c>
      <c r="E773" t="s">
        <v>25</v>
      </c>
      <c r="F773" t="s">
        <v>26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  <c r="R773" s="3">
        <f t="shared" si="48"/>
        <v>601.09</v>
      </c>
      <c r="S773" t="str">
        <f t="shared" si="49"/>
        <v>February</v>
      </c>
      <c r="T773">
        <f t="shared" si="50"/>
        <v>2</v>
      </c>
      <c r="U773" t="str">
        <f t="shared" si="51"/>
        <v>Wednesday</v>
      </c>
    </row>
    <row r="774" spans="1:21" x14ac:dyDescent="0.2">
      <c r="A774" t="s">
        <v>812</v>
      </c>
      <c r="B774" t="s">
        <v>29</v>
      </c>
      <c r="C774" t="s">
        <v>30</v>
      </c>
      <c r="D774" t="s">
        <v>24</v>
      </c>
      <c r="E774" t="s">
        <v>25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27</v>
      </c>
      <c r="N774">
        <v>475.93</v>
      </c>
      <c r="O774">
        <v>4.7619047620000003</v>
      </c>
      <c r="P774">
        <v>23.796500000000002</v>
      </c>
      <c r="Q774">
        <v>5.7</v>
      </c>
      <c r="R774" s="3">
        <f t="shared" si="48"/>
        <v>475.92999999999995</v>
      </c>
      <c r="S774" t="str">
        <f t="shared" si="49"/>
        <v>February</v>
      </c>
      <c r="T774">
        <f t="shared" si="50"/>
        <v>2</v>
      </c>
      <c r="U774" t="str">
        <f t="shared" si="51"/>
        <v>Sunday</v>
      </c>
    </row>
    <row r="775" spans="1:21" x14ac:dyDescent="0.2">
      <c r="A775" t="s">
        <v>813</v>
      </c>
      <c r="B775" t="s">
        <v>29</v>
      </c>
      <c r="C775" t="s">
        <v>30</v>
      </c>
      <c r="D775" t="s">
        <v>31</v>
      </c>
      <c r="E775" t="s">
        <v>25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  <c r="R775" s="3">
        <f t="shared" si="48"/>
        <v>52.42</v>
      </c>
      <c r="S775" t="str">
        <f t="shared" si="49"/>
        <v>June</v>
      </c>
      <c r="T775">
        <f t="shared" si="50"/>
        <v>6</v>
      </c>
      <c r="U775" t="str">
        <f t="shared" si="51"/>
        <v>Sunday</v>
      </c>
    </row>
    <row r="776" spans="1:21" x14ac:dyDescent="0.2">
      <c r="A776" t="s">
        <v>814</v>
      </c>
      <c r="B776" t="s">
        <v>29</v>
      </c>
      <c r="C776" t="s">
        <v>30</v>
      </c>
      <c r="D776" t="s">
        <v>24</v>
      </c>
      <c r="E776" t="s">
        <v>181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33</v>
      </c>
      <c r="N776">
        <v>131.30000000000001</v>
      </c>
      <c r="O776">
        <v>4.7619047620000003</v>
      </c>
      <c r="P776">
        <v>6.5650000000000004</v>
      </c>
      <c r="Q776">
        <v>6</v>
      </c>
      <c r="R776" s="3">
        <f t="shared" si="48"/>
        <v>131.30000000000001</v>
      </c>
      <c r="S776" t="str">
        <f t="shared" si="49"/>
        <v>January</v>
      </c>
      <c r="T776">
        <f t="shared" si="50"/>
        <v>1</v>
      </c>
      <c r="U776" t="str">
        <f t="shared" si="51"/>
        <v>Thursday</v>
      </c>
    </row>
    <row r="777" spans="1:21" x14ac:dyDescent="0.2">
      <c r="A777" t="s">
        <v>815</v>
      </c>
      <c r="B777" t="s">
        <v>45</v>
      </c>
      <c r="C777" t="s">
        <v>46</v>
      </c>
      <c r="D777" t="s">
        <v>31</v>
      </c>
      <c r="E777" t="s">
        <v>25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  <c r="R777" s="3">
        <f t="shared" si="48"/>
        <v>144.30000000000001</v>
      </c>
      <c r="S777" t="str">
        <f t="shared" si="49"/>
        <v>January</v>
      </c>
      <c r="T777">
        <f t="shared" si="50"/>
        <v>1</v>
      </c>
      <c r="U777" t="str">
        <f t="shared" si="51"/>
        <v>Tuesday</v>
      </c>
    </row>
    <row r="778" spans="1:21" x14ac:dyDescent="0.2">
      <c r="A778" t="s">
        <v>816</v>
      </c>
      <c r="B778" t="s">
        <v>29</v>
      </c>
      <c r="C778" t="s">
        <v>30</v>
      </c>
      <c r="D778" t="s">
        <v>24</v>
      </c>
      <c r="E778" t="s">
        <v>181</v>
      </c>
      <c r="F778" t="s">
        <v>26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  <c r="R778" s="3">
        <f t="shared" si="48"/>
        <v>457.17</v>
      </c>
      <c r="S778" t="str">
        <f t="shared" si="49"/>
        <v>May</v>
      </c>
      <c r="T778">
        <f t="shared" si="50"/>
        <v>5</v>
      </c>
      <c r="U778" t="str">
        <f t="shared" si="51"/>
        <v>Friday</v>
      </c>
    </row>
    <row r="779" spans="1:21" x14ac:dyDescent="0.2">
      <c r="A779" t="s">
        <v>817</v>
      </c>
      <c r="B779" t="s">
        <v>45</v>
      </c>
      <c r="C779" t="s">
        <v>46</v>
      </c>
      <c r="D779" t="s">
        <v>31</v>
      </c>
      <c r="E779" t="s">
        <v>181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33</v>
      </c>
      <c r="N779">
        <v>93.38</v>
      </c>
      <c r="O779">
        <v>4.7619047620000003</v>
      </c>
      <c r="P779">
        <v>4.6689999999999996</v>
      </c>
      <c r="Q779">
        <v>9.6</v>
      </c>
      <c r="R779" s="3">
        <f t="shared" si="48"/>
        <v>93.38</v>
      </c>
      <c r="S779" t="str">
        <f t="shared" si="49"/>
        <v>March</v>
      </c>
      <c r="T779">
        <f t="shared" si="50"/>
        <v>3</v>
      </c>
      <c r="U779" t="str">
        <f t="shared" si="51"/>
        <v>Friday</v>
      </c>
    </row>
    <row r="780" spans="1:21" x14ac:dyDescent="0.2">
      <c r="A780" t="s">
        <v>818</v>
      </c>
      <c r="B780" t="s">
        <v>29</v>
      </c>
      <c r="C780" t="s">
        <v>30</v>
      </c>
      <c r="D780" t="s">
        <v>24</v>
      </c>
      <c r="E780" t="s">
        <v>181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33</v>
      </c>
      <c r="N780">
        <v>126.25</v>
      </c>
      <c r="O780">
        <v>4.7619047620000003</v>
      </c>
      <c r="P780">
        <v>6.3125</v>
      </c>
      <c r="Q780">
        <v>6.1</v>
      </c>
      <c r="R780" s="3">
        <f t="shared" si="48"/>
        <v>126.25</v>
      </c>
      <c r="S780" t="str">
        <f t="shared" si="49"/>
        <v>March</v>
      </c>
      <c r="T780">
        <f t="shared" si="50"/>
        <v>3</v>
      </c>
      <c r="U780" t="str">
        <f t="shared" si="51"/>
        <v>Wednesday</v>
      </c>
    </row>
    <row r="781" spans="1:21" x14ac:dyDescent="0.2">
      <c r="A781" t="s">
        <v>819</v>
      </c>
      <c r="B781" t="s">
        <v>45</v>
      </c>
      <c r="C781" t="s">
        <v>46</v>
      </c>
      <c r="D781" t="s">
        <v>24</v>
      </c>
      <c r="E781" t="s">
        <v>181</v>
      </c>
      <c r="F781" t="s">
        <v>32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27</v>
      </c>
      <c r="N781">
        <v>790.83</v>
      </c>
      <c r="O781">
        <v>4.7619047620000003</v>
      </c>
      <c r="P781">
        <v>39.541499999999999</v>
      </c>
      <c r="Q781">
        <v>5.6</v>
      </c>
      <c r="R781" s="3">
        <f t="shared" si="48"/>
        <v>790.83</v>
      </c>
      <c r="S781" t="str">
        <f t="shared" si="49"/>
        <v>January</v>
      </c>
      <c r="T781">
        <f t="shared" si="50"/>
        <v>1</v>
      </c>
      <c r="U781" t="str">
        <f t="shared" si="51"/>
        <v>Thursday</v>
      </c>
    </row>
    <row r="782" spans="1:21" x14ac:dyDescent="0.2">
      <c r="A782" t="s">
        <v>820</v>
      </c>
      <c r="B782" t="s">
        <v>29</v>
      </c>
      <c r="C782" t="s">
        <v>30</v>
      </c>
      <c r="D782" t="s">
        <v>31</v>
      </c>
      <c r="E782" t="s">
        <v>181</v>
      </c>
      <c r="F782" t="s">
        <v>26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33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3">
        <f t="shared" si="48"/>
        <v>174.4</v>
      </c>
      <c r="S782" t="str">
        <f t="shared" si="49"/>
        <v>February</v>
      </c>
      <c r="T782">
        <f t="shared" si="50"/>
        <v>2</v>
      </c>
      <c r="U782" t="str">
        <f t="shared" si="51"/>
        <v>Tuesday</v>
      </c>
    </row>
    <row r="783" spans="1:21" x14ac:dyDescent="0.2">
      <c r="A783" t="s">
        <v>821</v>
      </c>
      <c r="B783" t="s">
        <v>22</v>
      </c>
      <c r="C783" t="s">
        <v>23</v>
      </c>
      <c r="D783" t="s">
        <v>31</v>
      </c>
      <c r="E783" t="s">
        <v>25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27</v>
      </c>
      <c r="N783">
        <v>379.04</v>
      </c>
      <c r="O783">
        <v>4.7619047620000003</v>
      </c>
      <c r="P783">
        <v>18.952000000000002</v>
      </c>
      <c r="Q783">
        <v>7.8</v>
      </c>
      <c r="R783" s="3">
        <f t="shared" si="48"/>
        <v>379.04</v>
      </c>
      <c r="S783" t="str">
        <f t="shared" si="49"/>
        <v>November</v>
      </c>
      <c r="T783">
        <f t="shared" si="50"/>
        <v>11</v>
      </c>
      <c r="U783" t="str">
        <f t="shared" si="51"/>
        <v>Saturday</v>
      </c>
    </row>
    <row r="784" spans="1:21" x14ac:dyDescent="0.2">
      <c r="A784" t="s">
        <v>822</v>
      </c>
      <c r="B784" t="s">
        <v>22</v>
      </c>
      <c r="C784" t="s">
        <v>23</v>
      </c>
      <c r="D784" t="s">
        <v>24</v>
      </c>
      <c r="E784" t="s">
        <v>25</v>
      </c>
      <c r="F784" t="s">
        <v>49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3">
        <f t="shared" si="48"/>
        <v>30.62</v>
      </c>
      <c r="S784" t="str">
        <f t="shared" si="49"/>
        <v>May</v>
      </c>
      <c r="T784">
        <f t="shared" si="50"/>
        <v>5</v>
      </c>
      <c r="U784" t="str">
        <f t="shared" si="51"/>
        <v>Thursday</v>
      </c>
    </row>
    <row r="785" spans="1:21" x14ac:dyDescent="0.2">
      <c r="A785" t="s">
        <v>823</v>
      </c>
      <c r="B785" t="s">
        <v>29</v>
      </c>
      <c r="C785" t="s">
        <v>30</v>
      </c>
      <c r="D785" t="s">
        <v>31</v>
      </c>
      <c r="E785" t="s">
        <v>25</v>
      </c>
      <c r="F785" t="s">
        <v>35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33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3">
        <f t="shared" si="48"/>
        <v>352.08</v>
      </c>
      <c r="S785" t="str">
        <f t="shared" si="49"/>
        <v>March</v>
      </c>
      <c r="T785">
        <f t="shared" si="50"/>
        <v>3</v>
      </c>
      <c r="U785" t="str">
        <f t="shared" si="51"/>
        <v>Sunday</v>
      </c>
    </row>
    <row r="786" spans="1:21" x14ac:dyDescent="0.2">
      <c r="A786" t="s">
        <v>824</v>
      </c>
      <c r="B786" t="s">
        <v>29</v>
      </c>
      <c r="C786" t="s">
        <v>30</v>
      </c>
      <c r="D786" t="s">
        <v>24</v>
      </c>
      <c r="E786" t="s">
        <v>25</v>
      </c>
      <c r="F786" t="s">
        <v>26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27</v>
      </c>
      <c r="N786">
        <v>50.8</v>
      </c>
      <c r="O786">
        <v>4.7619047620000003</v>
      </c>
      <c r="P786">
        <v>2.54</v>
      </c>
      <c r="Q786">
        <v>4.0999999999999996</v>
      </c>
      <c r="R786" s="3">
        <f t="shared" si="48"/>
        <v>50.8</v>
      </c>
      <c r="S786" t="str">
        <f t="shared" si="49"/>
        <v>February</v>
      </c>
      <c r="T786">
        <f t="shared" si="50"/>
        <v>2</v>
      </c>
      <c r="U786" t="str">
        <f t="shared" si="51"/>
        <v>Sunday</v>
      </c>
    </row>
    <row r="787" spans="1:21" x14ac:dyDescent="0.2">
      <c r="A787" t="s">
        <v>825</v>
      </c>
      <c r="B787" t="s">
        <v>22</v>
      </c>
      <c r="C787" t="s">
        <v>23</v>
      </c>
      <c r="D787" t="s">
        <v>31</v>
      </c>
      <c r="E787" t="s">
        <v>181</v>
      </c>
      <c r="F787" t="s">
        <v>32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  <c r="R787" s="3">
        <f t="shared" si="48"/>
        <v>522.05999999999995</v>
      </c>
      <c r="S787" t="str">
        <f t="shared" si="49"/>
        <v>April</v>
      </c>
      <c r="T787">
        <f t="shared" si="50"/>
        <v>4</v>
      </c>
      <c r="U787" t="str">
        <f t="shared" si="51"/>
        <v>Tuesday</v>
      </c>
    </row>
    <row r="788" spans="1:21" x14ac:dyDescent="0.2">
      <c r="A788" t="s">
        <v>826</v>
      </c>
      <c r="B788" t="s">
        <v>29</v>
      </c>
      <c r="C788" t="s">
        <v>30</v>
      </c>
      <c r="D788" t="s">
        <v>31</v>
      </c>
      <c r="E788" t="s">
        <v>181</v>
      </c>
      <c r="F788" t="s">
        <v>32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27</v>
      </c>
      <c r="N788">
        <v>575.12</v>
      </c>
      <c r="O788">
        <v>4.7619047620000003</v>
      </c>
      <c r="P788">
        <v>28.756</v>
      </c>
      <c r="Q788">
        <v>5.5</v>
      </c>
      <c r="R788" s="3">
        <f t="shared" si="48"/>
        <v>575.12</v>
      </c>
      <c r="S788" t="str">
        <f t="shared" si="49"/>
        <v>February</v>
      </c>
      <c r="T788">
        <f t="shared" si="50"/>
        <v>2</v>
      </c>
      <c r="U788" t="str">
        <f t="shared" si="51"/>
        <v>Tuesday</v>
      </c>
    </row>
    <row r="789" spans="1:21" x14ac:dyDescent="0.2">
      <c r="A789" t="s">
        <v>827</v>
      </c>
      <c r="B789" t="s">
        <v>29</v>
      </c>
      <c r="C789" t="s">
        <v>30</v>
      </c>
      <c r="D789" t="s">
        <v>31</v>
      </c>
      <c r="E789" t="s">
        <v>25</v>
      </c>
      <c r="F789" t="s">
        <v>26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3">
        <f t="shared" si="48"/>
        <v>54.95</v>
      </c>
      <c r="S789" t="str">
        <f t="shared" si="49"/>
        <v>January</v>
      </c>
      <c r="T789">
        <f t="shared" si="50"/>
        <v>1</v>
      </c>
      <c r="U789" t="str">
        <f t="shared" si="51"/>
        <v>Wednesday</v>
      </c>
    </row>
    <row r="790" spans="1:21" x14ac:dyDescent="0.2">
      <c r="A790" t="s">
        <v>828</v>
      </c>
      <c r="B790" t="s">
        <v>29</v>
      </c>
      <c r="C790" t="s">
        <v>30</v>
      </c>
      <c r="D790" t="s">
        <v>24</v>
      </c>
      <c r="E790" t="s">
        <v>181</v>
      </c>
      <c r="F790" t="s">
        <v>26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  <c r="R790" s="3">
        <f t="shared" si="48"/>
        <v>181.41</v>
      </c>
      <c r="S790" t="str">
        <f t="shared" si="49"/>
        <v>January</v>
      </c>
      <c r="T790">
        <f t="shared" si="50"/>
        <v>1</v>
      </c>
      <c r="U790" t="str">
        <f t="shared" si="51"/>
        <v>Monday</v>
      </c>
    </row>
    <row r="791" spans="1:21" x14ac:dyDescent="0.2">
      <c r="A791" t="s">
        <v>829</v>
      </c>
      <c r="B791" t="s">
        <v>22</v>
      </c>
      <c r="C791" t="s">
        <v>23</v>
      </c>
      <c r="D791" t="s">
        <v>31</v>
      </c>
      <c r="E791" t="s">
        <v>181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27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3">
        <f t="shared" si="48"/>
        <v>412.37</v>
      </c>
      <c r="S791" t="str">
        <f t="shared" si="49"/>
        <v>January</v>
      </c>
      <c r="T791">
        <f t="shared" si="50"/>
        <v>1</v>
      </c>
      <c r="U791" t="str">
        <f t="shared" si="51"/>
        <v>Thursday</v>
      </c>
    </row>
    <row r="792" spans="1:21" x14ac:dyDescent="0.2">
      <c r="A792" t="s">
        <v>830</v>
      </c>
      <c r="B792" t="s">
        <v>22</v>
      </c>
      <c r="C792" t="s">
        <v>23</v>
      </c>
      <c r="D792" t="s">
        <v>31</v>
      </c>
      <c r="E792" t="s">
        <v>181</v>
      </c>
      <c r="F792" t="s">
        <v>49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  <c r="R792" s="3">
        <f t="shared" si="48"/>
        <v>46.41</v>
      </c>
      <c r="S792" t="str">
        <f t="shared" si="49"/>
        <v>March</v>
      </c>
      <c r="T792">
        <f t="shared" si="50"/>
        <v>3</v>
      </c>
      <c r="U792" t="str">
        <f t="shared" si="51"/>
        <v>Sunday</v>
      </c>
    </row>
    <row r="793" spans="1:21" x14ac:dyDescent="0.2">
      <c r="A793" t="s">
        <v>831</v>
      </c>
      <c r="B793" t="s">
        <v>29</v>
      </c>
      <c r="C793" t="s">
        <v>30</v>
      </c>
      <c r="D793" t="s">
        <v>24</v>
      </c>
      <c r="E793" t="s">
        <v>181</v>
      </c>
      <c r="F793" t="s">
        <v>26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  <c r="R793" s="3">
        <f t="shared" si="48"/>
        <v>274.2</v>
      </c>
      <c r="S793" t="str">
        <f t="shared" si="49"/>
        <v>February</v>
      </c>
      <c r="T793">
        <f t="shared" si="50"/>
        <v>2</v>
      </c>
      <c r="U793" t="str">
        <f t="shared" si="51"/>
        <v>Friday</v>
      </c>
    </row>
    <row r="794" spans="1:21" x14ac:dyDescent="0.2">
      <c r="A794" t="s">
        <v>832</v>
      </c>
      <c r="B794" t="s">
        <v>45</v>
      </c>
      <c r="C794" t="s">
        <v>46</v>
      </c>
      <c r="D794" t="s">
        <v>31</v>
      </c>
      <c r="E794" t="s">
        <v>25</v>
      </c>
      <c r="F794" t="s">
        <v>35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3">
        <f t="shared" si="48"/>
        <v>973.7</v>
      </c>
      <c r="S794" t="str">
        <f t="shared" si="49"/>
        <v>January</v>
      </c>
      <c r="T794">
        <f t="shared" si="50"/>
        <v>1</v>
      </c>
      <c r="U794" t="str">
        <f t="shared" si="51"/>
        <v>Tuesday</v>
      </c>
    </row>
    <row r="795" spans="1:21" x14ac:dyDescent="0.2">
      <c r="A795" t="s">
        <v>833</v>
      </c>
      <c r="B795" t="s">
        <v>22</v>
      </c>
      <c r="C795" t="s">
        <v>23</v>
      </c>
      <c r="D795" t="s">
        <v>24</v>
      </c>
      <c r="E795" t="s">
        <v>181</v>
      </c>
      <c r="F795" t="s">
        <v>32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3">
        <f t="shared" si="48"/>
        <v>648.19999999999993</v>
      </c>
      <c r="S795" t="str">
        <f t="shared" si="49"/>
        <v>February</v>
      </c>
      <c r="T795">
        <f t="shared" si="50"/>
        <v>2</v>
      </c>
      <c r="U795" t="str">
        <f t="shared" si="51"/>
        <v>Wednesday</v>
      </c>
    </row>
    <row r="796" spans="1:21" x14ac:dyDescent="0.2">
      <c r="A796" t="s">
        <v>834</v>
      </c>
      <c r="B796" t="s">
        <v>22</v>
      </c>
      <c r="C796" t="s">
        <v>23</v>
      </c>
      <c r="D796" t="s">
        <v>31</v>
      </c>
      <c r="E796" t="s">
        <v>25</v>
      </c>
      <c r="F796" t="s">
        <v>32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  <c r="R796" s="3">
        <f t="shared" si="48"/>
        <v>93.22</v>
      </c>
      <c r="S796" t="str">
        <f t="shared" si="49"/>
        <v>February</v>
      </c>
      <c r="T796">
        <f t="shared" si="50"/>
        <v>2</v>
      </c>
      <c r="U796" t="str">
        <f t="shared" si="51"/>
        <v>Tuesday</v>
      </c>
    </row>
    <row r="797" spans="1:21" x14ac:dyDescent="0.2">
      <c r="A797" t="s">
        <v>835</v>
      </c>
      <c r="B797" t="s">
        <v>45</v>
      </c>
      <c r="C797" t="s">
        <v>46</v>
      </c>
      <c r="D797" t="s">
        <v>31</v>
      </c>
      <c r="E797" t="s">
        <v>181</v>
      </c>
      <c r="F797" t="s">
        <v>49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27</v>
      </c>
      <c r="N797">
        <v>54.36</v>
      </c>
      <c r="O797">
        <v>4.7619047620000003</v>
      </c>
      <c r="P797">
        <v>2.718</v>
      </c>
      <c r="Q797">
        <v>4.3</v>
      </c>
      <c r="R797" s="3">
        <f t="shared" si="48"/>
        <v>54.36</v>
      </c>
      <c r="S797" t="str">
        <f t="shared" si="49"/>
        <v>March</v>
      </c>
      <c r="T797">
        <f t="shared" si="50"/>
        <v>3</v>
      </c>
      <c r="U797" t="str">
        <f t="shared" si="51"/>
        <v>Friday</v>
      </c>
    </row>
    <row r="798" spans="1:21" x14ac:dyDescent="0.2">
      <c r="A798" t="s">
        <v>836</v>
      </c>
      <c r="B798" t="s">
        <v>29</v>
      </c>
      <c r="C798" t="s">
        <v>30</v>
      </c>
      <c r="D798" t="s">
        <v>24</v>
      </c>
      <c r="E798" t="s">
        <v>25</v>
      </c>
      <c r="F798" t="s">
        <v>35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33</v>
      </c>
      <c r="N798">
        <v>60.87</v>
      </c>
      <c r="O798">
        <v>4.7619047620000003</v>
      </c>
      <c r="P798">
        <v>3.0434999999999999</v>
      </c>
      <c r="Q798">
        <v>5.5</v>
      </c>
      <c r="R798" s="3">
        <f t="shared" si="48"/>
        <v>60.87</v>
      </c>
      <c r="S798" t="str">
        <f t="shared" si="49"/>
        <v>January</v>
      </c>
      <c r="T798">
        <f t="shared" si="50"/>
        <v>1</v>
      </c>
      <c r="U798" t="str">
        <f t="shared" si="51"/>
        <v>Thursday</v>
      </c>
    </row>
    <row r="799" spans="1:21" x14ac:dyDescent="0.2">
      <c r="A799" t="s">
        <v>837</v>
      </c>
      <c r="B799" t="s">
        <v>22</v>
      </c>
      <c r="C799" t="s">
        <v>23</v>
      </c>
      <c r="D799" t="s">
        <v>24</v>
      </c>
      <c r="E799" t="s">
        <v>25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33</v>
      </c>
      <c r="N799">
        <v>244.9</v>
      </c>
      <c r="O799">
        <v>4.7619047620000003</v>
      </c>
      <c r="P799">
        <v>12.244999999999999</v>
      </c>
      <c r="Q799">
        <v>8.1</v>
      </c>
      <c r="R799" s="3">
        <f t="shared" si="48"/>
        <v>244.89999999999998</v>
      </c>
      <c r="S799" t="str">
        <f t="shared" si="49"/>
        <v>February</v>
      </c>
      <c r="T799">
        <f t="shared" si="50"/>
        <v>2</v>
      </c>
      <c r="U799" t="str">
        <f t="shared" si="51"/>
        <v>Friday</v>
      </c>
    </row>
    <row r="800" spans="1:21" x14ac:dyDescent="0.2">
      <c r="A800" t="s">
        <v>838</v>
      </c>
      <c r="B800" t="s">
        <v>45</v>
      </c>
      <c r="C800" t="s">
        <v>46</v>
      </c>
      <c r="D800" t="s">
        <v>31</v>
      </c>
      <c r="E800" t="s">
        <v>181</v>
      </c>
      <c r="F800" t="s">
        <v>26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3">
        <f t="shared" si="48"/>
        <v>92.78</v>
      </c>
      <c r="S800" t="str">
        <f t="shared" si="49"/>
        <v>March</v>
      </c>
      <c r="T800">
        <f t="shared" si="50"/>
        <v>3</v>
      </c>
      <c r="U800" t="str">
        <f t="shared" si="51"/>
        <v>Friday</v>
      </c>
    </row>
    <row r="801" spans="1:21" x14ac:dyDescent="0.2">
      <c r="A801" t="s">
        <v>839</v>
      </c>
      <c r="B801" t="s">
        <v>29</v>
      </c>
      <c r="C801" t="s">
        <v>30</v>
      </c>
      <c r="D801" t="s">
        <v>24</v>
      </c>
      <c r="E801" t="s">
        <v>181</v>
      </c>
      <c r="F801" t="s">
        <v>35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27</v>
      </c>
      <c r="N801">
        <v>433.45</v>
      </c>
      <c r="O801">
        <v>4.7619047620000003</v>
      </c>
      <c r="P801">
        <v>21.672499999999999</v>
      </c>
      <c r="Q801">
        <v>9.4</v>
      </c>
      <c r="R801" s="3">
        <f t="shared" si="48"/>
        <v>433.45</v>
      </c>
      <c r="S801" t="str">
        <f t="shared" si="49"/>
        <v>November</v>
      </c>
      <c r="T801">
        <f t="shared" si="50"/>
        <v>11</v>
      </c>
      <c r="U801" t="str">
        <f t="shared" si="51"/>
        <v>Saturday</v>
      </c>
    </row>
    <row r="802" spans="1:21" x14ac:dyDescent="0.2">
      <c r="A802" t="s">
        <v>840</v>
      </c>
      <c r="B802" t="s">
        <v>45</v>
      </c>
      <c r="C802" t="s">
        <v>46</v>
      </c>
      <c r="D802" t="s">
        <v>31</v>
      </c>
      <c r="E802" t="s">
        <v>181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27</v>
      </c>
      <c r="N802">
        <v>138.06</v>
      </c>
      <c r="O802">
        <v>4.7619047620000003</v>
      </c>
      <c r="P802">
        <v>6.9029999999999996</v>
      </c>
      <c r="Q802">
        <v>7.9</v>
      </c>
      <c r="R802" s="3">
        <f t="shared" si="48"/>
        <v>138.06</v>
      </c>
      <c r="S802" t="str">
        <f t="shared" si="49"/>
        <v>December</v>
      </c>
      <c r="T802">
        <f t="shared" si="50"/>
        <v>12</v>
      </c>
      <c r="U802" t="str">
        <f t="shared" si="51"/>
        <v>Sunday</v>
      </c>
    </row>
    <row r="803" spans="1:21" x14ac:dyDescent="0.2">
      <c r="A803" t="s">
        <v>841</v>
      </c>
      <c r="B803" t="s">
        <v>29</v>
      </c>
      <c r="C803" t="s">
        <v>30</v>
      </c>
      <c r="D803" t="s">
        <v>24</v>
      </c>
      <c r="E803" t="s">
        <v>25</v>
      </c>
      <c r="F803" t="s">
        <v>32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27</v>
      </c>
      <c r="N803">
        <v>241.6</v>
      </c>
      <c r="O803">
        <v>4.7619047620000003</v>
      </c>
      <c r="P803">
        <v>12.08</v>
      </c>
      <c r="Q803">
        <v>5.0999999999999996</v>
      </c>
      <c r="R803" s="3">
        <f t="shared" si="48"/>
        <v>241.6</v>
      </c>
      <c r="S803" t="str">
        <f t="shared" si="49"/>
        <v>March</v>
      </c>
      <c r="T803">
        <f t="shared" si="50"/>
        <v>3</v>
      </c>
      <c r="U803" t="str">
        <f t="shared" si="51"/>
        <v>Sunday</v>
      </c>
    </row>
    <row r="804" spans="1:21" x14ac:dyDescent="0.2">
      <c r="A804" t="s">
        <v>842</v>
      </c>
      <c r="B804" t="s">
        <v>29</v>
      </c>
      <c r="C804" t="s">
        <v>30</v>
      </c>
      <c r="D804" t="s">
        <v>24</v>
      </c>
      <c r="E804" t="s">
        <v>181</v>
      </c>
      <c r="F804" t="s">
        <v>49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27</v>
      </c>
      <c r="N804">
        <v>471.73</v>
      </c>
      <c r="O804">
        <v>4.7619047620000003</v>
      </c>
      <c r="P804">
        <v>23.586500000000001</v>
      </c>
      <c r="Q804">
        <v>6.9</v>
      </c>
      <c r="R804" s="3">
        <f t="shared" si="48"/>
        <v>471.73</v>
      </c>
      <c r="S804" t="str">
        <f t="shared" si="49"/>
        <v>March</v>
      </c>
      <c r="T804">
        <f t="shared" si="50"/>
        <v>3</v>
      </c>
      <c r="U804" t="str">
        <f t="shared" si="51"/>
        <v>Saturday</v>
      </c>
    </row>
    <row r="805" spans="1:21" x14ac:dyDescent="0.2">
      <c r="A805" t="s">
        <v>843</v>
      </c>
      <c r="B805" t="s">
        <v>22</v>
      </c>
      <c r="C805" t="s">
        <v>23</v>
      </c>
      <c r="D805" t="s">
        <v>24</v>
      </c>
      <c r="E805" t="s">
        <v>25</v>
      </c>
      <c r="F805" t="s">
        <v>49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33</v>
      </c>
      <c r="N805">
        <v>440.64</v>
      </c>
      <c r="O805">
        <v>4.7619047620000003</v>
      </c>
      <c r="P805">
        <v>22.032</v>
      </c>
      <c r="Q805">
        <v>8</v>
      </c>
      <c r="R805" s="3">
        <f t="shared" si="48"/>
        <v>440.64</v>
      </c>
      <c r="S805" t="str">
        <f t="shared" si="49"/>
        <v>April</v>
      </c>
      <c r="T805">
        <f t="shared" si="50"/>
        <v>4</v>
      </c>
      <c r="U805" t="str">
        <f t="shared" si="51"/>
        <v>Wednesday</v>
      </c>
    </row>
    <row r="806" spans="1:21" x14ac:dyDescent="0.2">
      <c r="A806" t="s">
        <v>844</v>
      </c>
      <c r="B806" t="s">
        <v>45</v>
      </c>
      <c r="C806" t="s">
        <v>46</v>
      </c>
      <c r="D806" t="s">
        <v>24</v>
      </c>
      <c r="E806" t="s">
        <v>25</v>
      </c>
      <c r="F806" t="s">
        <v>32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33</v>
      </c>
      <c r="N806">
        <v>680.31</v>
      </c>
      <c r="O806">
        <v>4.7619047620000003</v>
      </c>
      <c r="P806">
        <v>34.015500000000003</v>
      </c>
      <c r="Q806">
        <v>8</v>
      </c>
      <c r="R806" s="3">
        <f t="shared" si="48"/>
        <v>680.31000000000006</v>
      </c>
      <c r="S806" t="str">
        <f t="shared" si="49"/>
        <v>February</v>
      </c>
      <c r="T806">
        <f t="shared" si="50"/>
        <v>2</v>
      </c>
      <c r="U806" t="str">
        <f t="shared" si="51"/>
        <v>Saturday</v>
      </c>
    </row>
    <row r="807" spans="1:21" x14ac:dyDescent="0.2">
      <c r="A807" t="s">
        <v>845</v>
      </c>
      <c r="B807" t="s">
        <v>22</v>
      </c>
      <c r="C807" t="s">
        <v>23</v>
      </c>
      <c r="D807" t="s">
        <v>31</v>
      </c>
      <c r="E807" t="s">
        <v>25</v>
      </c>
      <c r="F807" t="s">
        <v>35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33</v>
      </c>
      <c r="N807">
        <v>309.88</v>
      </c>
      <c r="O807">
        <v>4.7619047620000003</v>
      </c>
      <c r="P807">
        <v>15.494</v>
      </c>
      <c r="Q807">
        <v>4.2</v>
      </c>
      <c r="R807" s="3">
        <f t="shared" si="48"/>
        <v>309.88</v>
      </c>
      <c r="S807" t="str">
        <f t="shared" si="49"/>
        <v>March</v>
      </c>
      <c r="T807">
        <f t="shared" si="50"/>
        <v>3</v>
      </c>
      <c r="U807" t="str">
        <f t="shared" si="51"/>
        <v>Sunday</v>
      </c>
    </row>
    <row r="808" spans="1:21" x14ac:dyDescent="0.2">
      <c r="A808" t="s">
        <v>846</v>
      </c>
      <c r="B808" t="s">
        <v>22</v>
      </c>
      <c r="C808" t="s">
        <v>23</v>
      </c>
      <c r="D808" t="s">
        <v>31</v>
      </c>
      <c r="E808" t="s">
        <v>25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  <c r="R808" s="3">
        <f t="shared" si="48"/>
        <v>186.36</v>
      </c>
      <c r="S808" t="str">
        <f t="shared" si="49"/>
        <v>January</v>
      </c>
      <c r="T808">
        <f t="shared" si="50"/>
        <v>1</v>
      </c>
      <c r="U808" t="str">
        <f t="shared" si="51"/>
        <v>Wednesday</v>
      </c>
    </row>
    <row r="809" spans="1:21" x14ac:dyDescent="0.2">
      <c r="A809" t="s">
        <v>847</v>
      </c>
      <c r="B809" t="s">
        <v>22</v>
      </c>
      <c r="C809" t="s">
        <v>23</v>
      </c>
      <c r="D809" t="s">
        <v>31</v>
      </c>
      <c r="E809" t="s">
        <v>25</v>
      </c>
      <c r="F809" t="s">
        <v>32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33</v>
      </c>
      <c r="N809">
        <v>200.92</v>
      </c>
      <c r="O809">
        <v>4.7619047620000003</v>
      </c>
      <c r="P809">
        <v>10.045999999999999</v>
      </c>
      <c r="Q809">
        <v>9</v>
      </c>
      <c r="R809" s="3">
        <f t="shared" si="48"/>
        <v>200.92</v>
      </c>
      <c r="S809" t="str">
        <f t="shared" si="49"/>
        <v>August</v>
      </c>
      <c r="T809">
        <f t="shared" si="50"/>
        <v>8</v>
      </c>
      <c r="U809" t="str">
        <f t="shared" si="51"/>
        <v>Thursday</v>
      </c>
    </row>
    <row r="810" spans="1:21" x14ac:dyDescent="0.2">
      <c r="A810" t="s">
        <v>848</v>
      </c>
      <c r="B810" t="s">
        <v>45</v>
      </c>
      <c r="C810" t="s">
        <v>46</v>
      </c>
      <c r="D810" t="s">
        <v>31</v>
      </c>
      <c r="E810" t="s">
        <v>25</v>
      </c>
      <c r="F810" t="s">
        <v>26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33</v>
      </c>
      <c r="N810">
        <v>17.75</v>
      </c>
      <c r="O810">
        <v>4.7619047620000003</v>
      </c>
      <c r="P810">
        <v>0.88749999999999996</v>
      </c>
      <c r="Q810">
        <v>8.6</v>
      </c>
      <c r="R810" s="3">
        <f t="shared" si="48"/>
        <v>17.75</v>
      </c>
      <c r="S810" t="str">
        <f t="shared" si="49"/>
        <v>January</v>
      </c>
      <c r="T810">
        <f t="shared" si="50"/>
        <v>1</v>
      </c>
      <c r="U810" t="str">
        <f t="shared" si="51"/>
        <v>Monday</v>
      </c>
    </row>
    <row r="811" spans="1:21" x14ac:dyDescent="0.2">
      <c r="A811" t="s">
        <v>849</v>
      </c>
      <c r="B811" t="s">
        <v>29</v>
      </c>
      <c r="C811" t="s">
        <v>30</v>
      </c>
      <c r="D811" t="s">
        <v>31</v>
      </c>
      <c r="E811" t="s">
        <v>25</v>
      </c>
      <c r="F811" t="s">
        <v>49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27</v>
      </c>
      <c r="N811">
        <v>621.79999999999995</v>
      </c>
      <c r="O811">
        <v>4.7619047620000003</v>
      </c>
      <c r="P811">
        <v>31.09</v>
      </c>
      <c r="Q811">
        <v>6</v>
      </c>
      <c r="R811" s="3">
        <f t="shared" si="48"/>
        <v>621.79999999999995</v>
      </c>
      <c r="S811" t="str">
        <f t="shared" si="49"/>
        <v>January</v>
      </c>
      <c r="T811">
        <f t="shared" si="50"/>
        <v>1</v>
      </c>
      <c r="U811" t="str">
        <f t="shared" si="51"/>
        <v>Thursday</v>
      </c>
    </row>
    <row r="812" spans="1:21" x14ac:dyDescent="0.2">
      <c r="A812" t="s">
        <v>850</v>
      </c>
      <c r="B812" t="s">
        <v>45</v>
      </c>
      <c r="C812" t="s">
        <v>46</v>
      </c>
      <c r="D812" t="s">
        <v>31</v>
      </c>
      <c r="E812" t="s">
        <v>181</v>
      </c>
      <c r="F812" t="s">
        <v>26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27</v>
      </c>
      <c r="N812">
        <v>86</v>
      </c>
      <c r="O812">
        <v>4.7619047620000003</v>
      </c>
      <c r="P812">
        <v>4.3</v>
      </c>
      <c r="Q812">
        <v>6.2</v>
      </c>
      <c r="R812" s="3">
        <f t="shared" si="48"/>
        <v>86</v>
      </c>
      <c r="S812" t="str">
        <f t="shared" si="49"/>
        <v>March</v>
      </c>
      <c r="T812">
        <f t="shared" si="50"/>
        <v>3</v>
      </c>
      <c r="U812" t="str">
        <f t="shared" si="51"/>
        <v>Friday</v>
      </c>
    </row>
    <row r="813" spans="1:21" x14ac:dyDescent="0.2">
      <c r="A813" t="s">
        <v>851</v>
      </c>
      <c r="B813" t="s">
        <v>22</v>
      </c>
      <c r="C813" t="s">
        <v>23</v>
      </c>
      <c r="D813" t="s">
        <v>31</v>
      </c>
      <c r="E813" t="s">
        <v>25</v>
      </c>
      <c r="F813" t="s">
        <v>32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  <c r="R813" s="3">
        <f t="shared" si="48"/>
        <v>402.59999999999997</v>
      </c>
      <c r="S813" t="str">
        <f t="shared" si="49"/>
        <v>February</v>
      </c>
      <c r="T813">
        <f t="shared" si="50"/>
        <v>2</v>
      </c>
      <c r="U813" t="str">
        <f t="shared" si="51"/>
        <v>Sunday</v>
      </c>
    </row>
    <row r="814" spans="1:21" x14ac:dyDescent="0.2">
      <c r="A814" t="s">
        <v>852</v>
      </c>
      <c r="B814" t="s">
        <v>29</v>
      </c>
      <c r="C814" t="s">
        <v>30</v>
      </c>
      <c r="D814" t="s">
        <v>24</v>
      </c>
      <c r="E814" t="s">
        <v>25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  <c r="R814" s="3">
        <f t="shared" si="48"/>
        <v>324.85000000000002</v>
      </c>
      <c r="S814" t="str">
        <f t="shared" si="49"/>
        <v>August</v>
      </c>
      <c r="T814">
        <f t="shared" si="50"/>
        <v>8</v>
      </c>
      <c r="U814" t="str">
        <f t="shared" si="51"/>
        <v>Friday</v>
      </c>
    </row>
    <row r="815" spans="1:21" x14ac:dyDescent="0.2">
      <c r="A815" t="s">
        <v>853</v>
      </c>
      <c r="B815" t="s">
        <v>22</v>
      </c>
      <c r="C815" t="s">
        <v>23</v>
      </c>
      <c r="D815" t="s">
        <v>31</v>
      </c>
      <c r="E815" t="s">
        <v>181</v>
      </c>
      <c r="F815" t="s">
        <v>32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33</v>
      </c>
      <c r="N815">
        <v>95.15</v>
      </c>
      <c r="O815">
        <v>4.7619047620000003</v>
      </c>
      <c r="P815">
        <v>4.7575000000000003</v>
      </c>
      <c r="Q815">
        <v>6</v>
      </c>
      <c r="R815" s="3">
        <f t="shared" si="48"/>
        <v>95.15</v>
      </c>
      <c r="S815" t="str">
        <f t="shared" si="49"/>
        <v>March</v>
      </c>
      <c r="T815">
        <f t="shared" si="50"/>
        <v>3</v>
      </c>
      <c r="U815" t="str">
        <f t="shared" si="51"/>
        <v>Friday</v>
      </c>
    </row>
    <row r="816" spans="1:21" x14ac:dyDescent="0.2">
      <c r="A816" t="s">
        <v>854</v>
      </c>
      <c r="B816" t="s">
        <v>22</v>
      </c>
      <c r="C816" t="s">
        <v>23</v>
      </c>
      <c r="D816" t="s">
        <v>24</v>
      </c>
      <c r="E816" t="s">
        <v>25</v>
      </c>
      <c r="F816" t="s">
        <v>32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33</v>
      </c>
      <c r="N816">
        <v>388.96</v>
      </c>
      <c r="O816">
        <v>4.7619047620000003</v>
      </c>
      <c r="P816">
        <v>19.448</v>
      </c>
      <c r="Q816">
        <v>5</v>
      </c>
      <c r="R816" s="3">
        <f t="shared" si="48"/>
        <v>388.96</v>
      </c>
      <c r="S816" t="str">
        <f t="shared" si="49"/>
        <v>January</v>
      </c>
      <c r="T816">
        <f t="shared" si="50"/>
        <v>1</v>
      </c>
      <c r="U816" t="str">
        <f t="shared" si="51"/>
        <v>Thursday</v>
      </c>
    </row>
    <row r="817" spans="1:21" x14ac:dyDescent="0.2">
      <c r="A817" t="s">
        <v>855</v>
      </c>
      <c r="B817" t="s">
        <v>45</v>
      </c>
      <c r="C817" t="s">
        <v>46</v>
      </c>
      <c r="D817" t="s">
        <v>31</v>
      </c>
      <c r="E817" t="s">
        <v>25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27</v>
      </c>
      <c r="N817">
        <v>425.68</v>
      </c>
      <c r="O817">
        <v>4.7619047620000003</v>
      </c>
      <c r="P817">
        <v>21.283999999999999</v>
      </c>
      <c r="Q817">
        <v>5</v>
      </c>
      <c r="R817" s="3">
        <f t="shared" si="48"/>
        <v>425.68</v>
      </c>
      <c r="S817" t="str">
        <f t="shared" si="49"/>
        <v>March</v>
      </c>
      <c r="T817">
        <f t="shared" si="50"/>
        <v>3</v>
      </c>
      <c r="U817" t="str">
        <f t="shared" si="51"/>
        <v>Thursday</v>
      </c>
    </row>
    <row r="818" spans="1:21" x14ac:dyDescent="0.2">
      <c r="A818" t="s">
        <v>856</v>
      </c>
      <c r="B818" t="s">
        <v>29</v>
      </c>
      <c r="C818" t="s">
        <v>30</v>
      </c>
      <c r="D818" t="s">
        <v>31</v>
      </c>
      <c r="E818" t="s">
        <v>25</v>
      </c>
      <c r="F818" t="s">
        <v>49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33</v>
      </c>
      <c r="N818">
        <v>318.08</v>
      </c>
      <c r="O818">
        <v>4.7619047620000003</v>
      </c>
      <c r="P818">
        <v>15.904</v>
      </c>
      <c r="Q818">
        <v>9.1999999999999993</v>
      </c>
      <c r="R818" s="3">
        <f t="shared" si="48"/>
        <v>318.08</v>
      </c>
      <c r="S818" t="str">
        <f t="shared" si="49"/>
        <v>January</v>
      </c>
      <c r="T818">
        <f t="shared" si="50"/>
        <v>1</v>
      </c>
      <c r="U818" t="str">
        <f t="shared" si="51"/>
        <v>Wednesday</v>
      </c>
    </row>
    <row r="819" spans="1:21" x14ac:dyDescent="0.2">
      <c r="A819" t="s">
        <v>857</v>
      </c>
      <c r="B819" t="s">
        <v>22</v>
      </c>
      <c r="C819" t="s">
        <v>23</v>
      </c>
      <c r="D819" t="s">
        <v>31</v>
      </c>
      <c r="E819" t="s">
        <v>181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27</v>
      </c>
      <c r="N819">
        <v>271.04000000000002</v>
      </c>
      <c r="O819">
        <v>4.7619047620000003</v>
      </c>
      <c r="P819">
        <v>13.552</v>
      </c>
      <c r="Q819">
        <v>9.6</v>
      </c>
      <c r="R819" s="3">
        <f t="shared" si="48"/>
        <v>271.04000000000002</v>
      </c>
      <c r="S819" t="str">
        <f t="shared" si="49"/>
        <v>January</v>
      </c>
      <c r="T819">
        <f t="shared" si="50"/>
        <v>1</v>
      </c>
      <c r="U819" t="str">
        <f t="shared" si="51"/>
        <v>Saturday</v>
      </c>
    </row>
    <row r="820" spans="1:21" x14ac:dyDescent="0.2">
      <c r="A820" t="s">
        <v>858</v>
      </c>
      <c r="B820" t="s">
        <v>45</v>
      </c>
      <c r="C820" t="s">
        <v>46</v>
      </c>
      <c r="D820" t="s">
        <v>24</v>
      </c>
      <c r="E820" t="s">
        <v>181</v>
      </c>
      <c r="F820" t="s">
        <v>26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  <c r="R820" s="3">
        <f t="shared" si="48"/>
        <v>384.64</v>
      </c>
      <c r="S820" t="str">
        <f t="shared" si="49"/>
        <v>January</v>
      </c>
      <c r="T820">
        <f t="shared" si="50"/>
        <v>1</v>
      </c>
      <c r="U820" t="str">
        <f t="shared" si="51"/>
        <v>Sunday</v>
      </c>
    </row>
    <row r="821" spans="1:21" x14ac:dyDescent="0.2">
      <c r="A821" t="s">
        <v>859</v>
      </c>
      <c r="B821" t="s">
        <v>45</v>
      </c>
      <c r="C821" t="s">
        <v>46</v>
      </c>
      <c r="D821" t="s">
        <v>24</v>
      </c>
      <c r="E821" t="s">
        <v>181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  <c r="R821" s="3">
        <f t="shared" si="48"/>
        <v>235.79999999999998</v>
      </c>
      <c r="S821" t="str">
        <f t="shared" si="49"/>
        <v>March</v>
      </c>
      <c r="T821">
        <f t="shared" si="50"/>
        <v>3</v>
      </c>
      <c r="U821" t="str">
        <f t="shared" si="51"/>
        <v>Saturday</v>
      </c>
    </row>
    <row r="822" spans="1:21" x14ac:dyDescent="0.2">
      <c r="A822" t="s">
        <v>860</v>
      </c>
      <c r="B822" t="s">
        <v>45</v>
      </c>
      <c r="C822" t="s">
        <v>46</v>
      </c>
      <c r="D822" t="s">
        <v>31</v>
      </c>
      <c r="E822" t="s">
        <v>181</v>
      </c>
      <c r="F822" t="s">
        <v>32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27</v>
      </c>
      <c r="N822">
        <v>211.56</v>
      </c>
      <c r="O822">
        <v>4.7619047620000003</v>
      </c>
      <c r="P822">
        <v>10.577999999999999</v>
      </c>
      <c r="Q822">
        <v>6.7</v>
      </c>
      <c r="R822" s="3">
        <f t="shared" si="48"/>
        <v>211.56</v>
      </c>
      <c r="S822" t="str">
        <f t="shared" si="49"/>
        <v>March</v>
      </c>
      <c r="T822">
        <f t="shared" si="50"/>
        <v>3</v>
      </c>
      <c r="U822" t="str">
        <f t="shared" si="51"/>
        <v>Monday</v>
      </c>
    </row>
    <row r="823" spans="1:21" x14ac:dyDescent="0.2">
      <c r="A823" t="s">
        <v>861</v>
      </c>
      <c r="B823" t="s">
        <v>22</v>
      </c>
      <c r="C823" t="s">
        <v>23</v>
      </c>
      <c r="D823" t="s">
        <v>24</v>
      </c>
      <c r="E823" t="s">
        <v>25</v>
      </c>
      <c r="F823" t="s">
        <v>35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3">
        <f t="shared" si="48"/>
        <v>95.36</v>
      </c>
      <c r="S823" t="str">
        <f t="shared" si="49"/>
        <v>February</v>
      </c>
      <c r="T823">
        <f t="shared" si="50"/>
        <v>2</v>
      </c>
      <c r="U823" t="str">
        <f t="shared" si="51"/>
        <v>Sunday</v>
      </c>
    </row>
    <row r="824" spans="1:21" x14ac:dyDescent="0.2">
      <c r="A824" t="s">
        <v>862</v>
      </c>
      <c r="B824" t="s">
        <v>29</v>
      </c>
      <c r="C824" t="s">
        <v>30</v>
      </c>
      <c r="D824" t="s">
        <v>24</v>
      </c>
      <c r="E824" t="s">
        <v>181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33</v>
      </c>
      <c r="N824">
        <v>10.17</v>
      </c>
      <c r="O824">
        <v>4.7619047620000003</v>
      </c>
      <c r="P824">
        <v>0.50849999999999995</v>
      </c>
      <c r="Q824">
        <v>5.9</v>
      </c>
      <c r="R824" s="3">
        <f t="shared" si="48"/>
        <v>10.17</v>
      </c>
      <c r="S824" t="str">
        <f t="shared" si="49"/>
        <v>July</v>
      </c>
      <c r="T824">
        <f t="shared" si="50"/>
        <v>7</v>
      </c>
      <c r="U824" t="str">
        <f t="shared" si="51"/>
        <v>Tuesday</v>
      </c>
    </row>
    <row r="825" spans="1:21" x14ac:dyDescent="0.2">
      <c r="A825" t="s">
        <v>863</v>
      </c>
      <c r="B825" t="s">
        <v>22</v>
      </c>
      <c r="C825" t="s">
        <v>23</v>
      </c>
      <c r="D825" t="s">
        <v>31</v>
      </c>
      <c r="E825" t="s">
        <v>25</v>
      </c>
      <c r="F825" t="s">
        <v>26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33</v>
      </c>
      <c r="N825">
        <v>206.13</v>
      </c>
      <c r="O825">
        <v>4.7619047620000003</v>
      </c>
      <c r="P825">
        <v>10.3065</v>
      </c>
      <c r="Q825">
        <v>8.6999999999999993</v>
      </c>
      <c r="R825" s="3">
        <f t="shared" si="48"/>
        <v>206.13</v>
      </c>
      <c r="S825" t="str">
        <f t="shared" si="49"/>
        <v>April</v>
      </c>
      <c r="T825">
        <f t="shared" si="50"/>
        <v>4</v>
      </c>
      <c r="U825" t="str">
        <f t="shared" si="51"/>
        <v>Wednesday</v>
      </c>
    </row>
    <row r="826" spans="1:21" x14ac:dyDescent="0.2">
      <c r="A826" t="s">
        <v>864</v>
      </c>
      <c r="B826" t="s">
        <v>45</v>
      </c>
      <c r="C826" t="s">
        <v>46</v>
      </c>
      <c r="D826" t="s">
        <v>24</v>
      </c>
      <c r="E826" t="s">
        <v>25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  <c r="R826" s="3">
        <f t="shared" si="48"/>
        <v>420.56</v>
      </c>
      <c r="S826" t="str">
        <f t="shared" si="49"/>
        <v>February</v>
      </c>
      <c r="T826">
        <f t="shared" si="50"/>
        <v>2</v>
      </c>
      <c r="U826" t="str">
        <f t="shared" si="51"/>
        <v>Thursday</v>
      </c>
    </row>
    <row r="827" spans="1:21" x14ac:dyDescent="0.2">
      <c r="A827" t="s">
        <v>865</v>
      </c>
      <c r="B827" t="s">
        <v>22</v>
      </c>
      <c r="C827" t="s">
        <v>23</v>
      </c>
      <c r="D827" t="s">
        <v>24</v>
      </c>
      <c r="E827" t="s">
        <v>25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  <c r="R827" s="3">
        <f t="shared" si="48"/>
        <v>88.04</v>
      </c>
      <c r="S827" t="str">
        <f t="shared" si="49"/>
        <v>January</v>
      </c>
      <c r="T827">
        <f t="shared" si="50"/>
        <v>1</v>
      </c>
      <c r="U827" t="str">
        <f t="shared" si="51"/>
        <v>Tuesday</v>
      </c>
    </row>
    <row r="828" spans="1:21" x14ac:dyDescent="0.2">
      <c r="A828" t="s">
        <v>866</v>
      </c>
      <c r="B828" t="s">
        <v>45</v>
      </c>
      <c r="C828" t="s">
        <v>46</v>
      </c>
      <c r="D828" t="s">
        <v>24</v>
      </c>
      <c r="E828" t="s">
        <v>25</v>
      </c>
      <c r="F828" t="s">
        <v>26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  <c r="R828" s="3">
        <f t="shared" si="48"/>
        <v>648.99</v>
      </c>
      <c r="S828" t="str">
        <f t="shared" si="49"/>
        <v>January</v>
      </c>
      <c r="T828">
        <f t="shared" si="50"/>
        <v>1</v>
      </c>
      <c r="U828" t="str">
        <f t="shared" si="51"/>
        <v>Monday</v>
      </c>
    </row>
    <row r="829" spans="1:21" x14ac:dyDescent="0.2">
      <c r="A829" t="s">
        <v>867</v>
      </c>
      <c r="B829" t="s">
        <v>22</v>
      </c>
      <c r="C829" t="s">
        <v>23</v>
      </c>
      <c r="D829" t="s">
        <v>24</v>
      </c>
      <c r="E829" t="s">
        <v>181</v>
      </c>
      <c r="F829" t="s">
        <v>49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  <c r="R829" s="3">
        <f t="shared" si="48"/>
        <v>123.84</v>
      </c>
      <c r="S829" t="str">
        <f t="shared" si="49"/>
        <v>March</v>
      </c>
      <c r="T829">
        <f t="shared" si="50"/>
        <v>3</v>
      </c>
      <c r="U829" t="str">
        <f t="shared" si="51"/>
        <v>Tuesday</v>
      </c>
    </row>
    <row r="830" spans="1:21" x14ac:dyDescent="0.2">
      <c r="A830" t="s">
        <v>868</v>
      </c>
      <c r="B830" t="s">
        <v>29</v>
      </c>
      <c r="C830" t="s">
        <v>30</v>
      </c>
      <c r="D830" t="s">
        <v>31</v>
      </c>
      <c r="E830" t="s">
        <v>181</v>
      </c>
      <c r="F830" t="s">
        <v>32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33</v>
      </c>
      <c r="N830">
        <v>649.5</v>
      </c>
      <c r="O830">
        <v>4.7619047620000003</v>
      </c>
      <c r="P830">
        <v>32.475000000000001</v>
      </c>
      <c r="Q830">
        <v>5.2</v>
      </c>
      <c r="R830" s="3">
        <f t="shared" si="48"/>
        <v>649.5</v>
      </c>
      <c r="S830" t="str">
        <f t="shared" si="49"/>
        <v>March</v>
      </c>
      <c r="T830">
        <f t="shared" si="50"/>
        <v>3</v>
      </c>
      <c r="U830" t="str">
        <f t="shared" si="51"/>
        <v>Sunday</v>
      </c>
    </row>
    <row r="831" spans="1:21" x14ac:dyDescent="0.2">
      <c r="A831" t="s">
        <v>869</v>
      </c>
      <c r="B831" t="s">
        <v>22</v>
      </c>
      <c r="C831" t="s">
        <v>23</v>
      </c>
      <c r="D831" t="s">
        <v>24</v>
      </c>
      <c r="E831" t="s">
        <v>25</v>
      </c>
      <c r="F831" t="s">
        <v>32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  <c r="R831" s="3">
        <f t="shared" si="48"/>
        <v>742.2</v>
      </c>
      <c r="S831" t="str">
        <f t="shared" si="49"/>
        <v>January</v>
      </c>
      <c r="T831">
        <f t="shared" si="50"/>
        <v>1</v>
      </c>
      <c r="U831" t="str">
        <f t="shared" si="51"/>
        <v>Tuesday</v>
      </c>
    </row>
    <row r="832" spans="1:21" x14ac:dyDescent="0.2">
      <c r="A832" t="s">
        <v>870</v>
      </c>
      <c r="B832" t="s">
        <v>22</v>
      </c>
      <c r="C832" t="s">
        <v>23</v>
      </c>
      <c r="D832" t="s">
        <v>31</v>
      </c>
      <c r="E832" t="s">
        <v>181</v>
      </c>
      <c r="F832" t="s">
        <v>32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33</v>
      </c>
      <c r="N832">
        <v>84.48</v>
      </c>
      <c r="O832">
        <v>4.7619047620000003</v>
      </c>
      <c r="P832">
        <v>4.2240000000000002</v>
      </c>
      <c r="Q832">
        <v>7.6</v>
      </c>
      <c r="R832" s="3">
        <f t="shared" si="48"/>
        <v>84.48</v>
      </c>
      <c r="S832" t="str">
        <f t="shared" si="49"/>
        <v>January</v>
      </c>
      <c r="T832">
        <f t="shared" si="50"/>
        <v>1</v>
      </c>
      <c r="U832" t="str">
        <f t="shared" si="51"/>
        <v>Thursday</v>
      </c>
    </row>
    <row r="833" spans="1:21" x14ac:dyDescent="0.2">
      <c r="A833" t="s">
        <v>871</v>
      </c>
      <c r="B833" t="s">
        <v>45</v>
      </c>
      <c r="C833" t="s">
        <v>46</v>
      </c>
      <c r="D833" t="s">
        <v>31</v>
      </c>
      <c r="E833" t="s">
        <v>181</v>
      </c>
      <c r="F833" t="s">
        <v>26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33</v>
      </c>
      <c r="N833">
        <v>250.28</v>
      </c>
      <c r="O833">
        <v>4.7619047620000003</v>
      </c>
      <c r="P833">
        <v>12.513999999999999</v>
      </c>
      <c r="Q833">
        <v>9.5</v>
      </c>
      <c r="R833" s="3">
        <f t="shared" si="48"/>
        <v>250.28</v>
      </c>
      <c r="S833" t="str">
        <f t="shared" si="49"/>
        <v>February</v>
      </c>
      <c r="T833">
        <f t="shared" si="50"/>
        <v>2</v>
      </c>
      <c r="U833" t="str">
        <f t="shared" si="51"/>
        <v>Monday</v>
      </c>
    </row>
    <row r="834" spans="1:21" x14ac:dyDescent="0.2">
      <c r="A834" t="s">
        <v>872</v>
      </c>
      <c r="B834" t="s">
        <v>45</v>
      </c>
      <c r="C834" t="s">
        <v>46</v>
      </c>
      <c r="D834" t="s">
        <v>24</v>
      </c>
      <c r="E834" t="s">
        <v>25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33</v>
      </c>
      <c r="N834">
        <v>94.8</v>
      </c>
      <c r="O834">
        <v>4.7619047620000003</v>
      </c>
      <c r="P834">
        <v>4.74</v>
      </c>
      <c r="Q834">
        <v>4.0999999999999996</v>
      </c>
      <c r="R834" s="3">
        <f t="shared" si="48"/>
        <v>94.8</v>
      </c>
      <c r="S834" t="str">
        <f t="shared" si="49"/>
        <v>September</v>
      </c>
      <c r="T834">
        <f t="shared" si="50"/>
        <v>9</v>
      </c>
      <c r="U834" t="str">
        <f t="shared" si="51"/>
        <v>Sunday</v>
      </c>
    </row>
    <row r="835" spans="1:21" x14ac:dyDescent="0.2">
      <c r="A835" t="s">
        <v>873</v>
      </c>
      <c r="B835" t="s">
        <v>22</v>
      </c>
      <c r="C835" t="s">
        <v>23</v>
      </c>
      <c r="D835" t="s">
        <v>24</v>
      </c>
      <c r="E835" t="s">
        <v>181</v>
      </c>
      <c r="F835" t="s">
        <v>26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27</v>
      </c>
      <c r="N835">
        <v>91.3</v>
      </c>
      <c r="O835">
        <v>4.7619047620000003</v>
      </c>
      <c r="P835">
        <v>4.5650000000000004</v>
      </c>
      <c r="Q835">
        <v>9.1999999999999993</v>
      </c>
      <c r="R835" s="3">
        <f t="shared" ref="R835:R898" si="52">H835*G835</f>
        <v>91.3</v>
      </c>
      <c r="S835" t="str">
        <f t="shared" ref="S835:S898" si="53">TEXT(K835,"mmmm")</f>
        <v>February</v>
      </c>
      <c r="T835">
        <f t="shared" ref="T835:T898" si="54">MONTH(K835)</f>
        <v>2</v>
      </c>
      <c r="U835" t="str">
        <f t="shared" ref="U835:U898" si="55">TEXT(K835,"dddd")</f>
        <v>Thursday</v>
      </c>
    </row>
    <row r="836" spans="1:21" x14ac:dyDescent="0.2">
      <c r="A836" t="s">
        <v>874</v>
      </c>
      <c r="B836" t="s">
        <v>45</v>
      </c>
      <c r="C836" t="s">
        <v>46</v>
      </c>
      <c r="D836" t="s">
        <v>24</v>
      </c>
      <c r="E836" t="s">
        <v>25</v>
      </c>
      <c r="F836" t="s">
        <v>35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27</v>
      </c>
      <c r="N836">
        <v>285.11</v>
      </c>
      <c r="O836">
        <v>4.7619047620000003</v>
      </c>
      <c r="P836">
        <v>14.2555</v>
      </c>
      <c r="Q836">
        <v>5.4</v>
      </c>
      <c r="R836" s="3">
        <f t="shared" si="52"/>
        <v>285.10999999999996</v>
      </c>
      <c r="S836" t="str">
        <f t="shared" si="53"/>
        <v>December</v>
      </c>
      <c r="T836">
        <f t="shared" si="54"/>
        <v>12</v>
      </c>
      <c r="U836" t="str">
        <f t="shared" si="55"/>
        <v>Tuesday</v>
      </c>
    </row>
    <row r="837" spans="1:21" x14ac:dyDescent="0.2">
      <c r="A837" t="s">
        <v>875</v>
      </c>
      <c r="B837" t="s">
        <v>22</v>
      </c>
      <c r="C837" t="s">
        <v>23</v>
      </c>
      <c r="D837" t="s">
        <v>31</v>
      </c>
      <c r="E837" t="s">
        <v>181</v>
      </c>
      <c r="F837" t="s">
        <v>49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33</v>
      </c>
      <c r="N837">
        <v>52.38</v>
      </c>
      <c r="O837">
        <v>4.7619047620000003</v>
      </c>
      <c r="P837">
        <v>2.6190000000000002</v>
      </c>
      <c r="Q837">
        <v>5.8</v>
      </c>
      <c r="R837" s="3">
        <f t="shared" si="52"/>
        <v>52.38</v>
      </c>
      <c r="S837" t="str">
        <f t="shared" si="53"/>
        <v>March</v>
      </c>
      <c r="T837">
        <f t="shared" si="54"/>
        <v>3</v>
      </c>
      <c r="U837" t="str">
        <f t="shared" si="55"/>
        <v>Tuesday</v>
      </c>
    </row>
    <row r="838" spans="1:21" x14ac:dyDescent="0.2">
      <c r="A838" t="s">
        <v>876</v>
      </c>
      <c r="B838" t="s">
        <v>22</v>
      </c>
      <c r="C838" t="s">
        <v>23</v>
      </c>
      <c r="D838" t="s">
        <v>24</v>
      </c>
      <c r="E838" t="s">
        <v>181</v>
      </c>
      <c r="F838" t="s">
        <v>49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27</v>
      </c>
      <c r="N838">
        <v>192.7</v>
      </c>
      <c r="O838">
        <v>4.7619047620000003</v>
      </c>
      <c r="P838">
        <v>9.6349999999999998</v>
      </c>
      <c r="Q838">
        <v>5.6</v>
      </c>
      <c r="R838" s="3">
        <f t="shared" si="52"/>
        <v>192.7</v>
      </c>
      <c r="S838" t="str">
        <f t="shared" si="53"/>
        <v>September</v>
      </c>
      <c r="T838">
        <f t="shared" si="54"/>
        <v>9</v>
      </c>
      <c r="U838" t="str">
        <f t="shared" si="55"/>
        <v>Sunday</v>
      </c>
    </row>
    <row r="839" spans="1:21" x14ac:dyDescent="0.2">
      <c r="A839" t="s">
        <v>877</v>
      </c>
      <c r="B839" t="s">
        <v>45</v>
      </c>
      <c r="C839" t="s">
        <v>46</v>
      </c>
      <c r="D839" t="s">
        <v>31</v>
      </c>
      <c r="E839" t="s">
        <v>181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3">
        <f t="shared" si="52"/>
        <v>267.78000000000003</v>
      </c>
      <c r="S839" t="str">
        <f t="shared" si="53"/>
        <v>February</v>
      </c>
      <c r="T839">
        <f t="shared" si="54"/>
        <v>2</v>
      </c>
      <c r="U839" t="str">
        <f t="shared" si="55"/>
        <v>Friday</v>
      </c>
    </row>
    <row r="840" spans="1:21" x14ac:dyDescent="0.2">
      <c r="A840" t="s">
        <v>878</v>
      </c>
      <c r="B840" t="s">
        <v>29</v>
      </c>
      <c r="C840" t="s">
        <v>30</v>
      </c>
      <c r="D840" t="s">
        <v>31</v>
      </c>
      <c r="E840" t="s">
        <v>181</v>
      </c>
      <c r="F840" t="s">
        <v>32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33</v>
      </c>
      <c r="N840">
        <v>558.70000000000005</v>
      </c>
      <c r="O840">
        <v>4.7619047620000003</v>
      </c>
      <c r="P840">
        <v>27.934999999999999</v>
      </c>
      <c r="Q840">
        <v>5.8</v>
      </c>
      <c r="R840" s="3">
        <f t="shared" si="52"/>
        <v>558.69999999999993</v>
      </c>
      <c r="S840" t="str">
        <f t="shared" si="53"/>
        <v>January</v>
      </c>
      <c r="T840">
        <f t="shared" si="54"/>
        <v>1</v>
      </c>
      <c r="U840" t="str">
        <f t="shared" si="55"/>
        <v>Tuesday</v>
      </c>
    </row>
    <row r="841" spans="1:21" x14ac:dyDescent="0.2">
      <c r="A841" t="s">
        <v>879</v>
      </c>
      <c r="B841" t="s">
        <v>29</v>
      </c>
      <c r="C841" t="s">
        <v>30</v>
      </c>
      <c r="D841" t="s">
        <v>24</v>
      </c>
      <c r="E841" t="s">
        <v>25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27</v>
      </c>
      <c r="N841">
        <v>175.32</v>
      </c>
      <c r="O841">
        <v>4.7619047620000003</v>
      </c>
      <c r="P841">
        <v>8.766</v>
      </c>
      <c r="Q841">
        <v>5</v>
      </c>
      <c r="R841" s="3">
        <f t="shared" si="52"/>
        <v>175.32</v>
      </c>
      <c r="S841" t="str">
        <f t="shared" si="53"/>
        <v>January</v>
      </c>
      <c r="T841">
        <f t="shared" si="54"/>
        <v>1</v>
      </c>
      <c r="U841" t="str">
        <f t="shared" si="55"/>
        <v>Tuesday</v>
      </c>
    </row>
    <row r="842" spans="1:21" x14ac:dyDescent="0.2">
      <c r="A842" t="s">
        <v>880</v>
      </c>
      <c r="B842" t="s">
        <v>22</v>
      </c>
      <c r="C842" t="s">
        <v>23</v>
      </c>
      <c r="D842" t="s">
        <v>31</v>
      </c>
      <c r="E842" t="s">
        <v>181</v>
      </c>
      <c r="F842" t="s">
        <v>49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33</v>
      </c>
      <c r="N842">
        <v>155.82</v>
      </c>
      <c r="O842">
        <v>4.7619047620000003</v>
      </c>
      <c r="P842">
        <v>7.7910000000000004</v>
      </c>
      <c r="Q842">
        <v>7.9</v>
      </c>
      <c r="R842" s="3">
        <f t="shared" si="52"/>
        <v>155.82</v>
      </c>
      <c r="S842" t="str">
        <f t="shared" si="53"/>
        <v>February</v>
      </c>
      <c r="T842">
        <f t="shared" si="54"/>
        <v>2</v>
      </c>
      <c r="U842" t="str">
        <f t="shared" si="55"/>
        <v>Friday</v>
      </c>
    </row>
    <row r="843" spans="1:21" x14ac:dyDescent="0.2">
      <c r="A843" t="s">
        <v>881</v>
      </c>
      <c r="B843" t="s">
        <v>45</v>
      </c>
      <c r="C843" t="s">
        <v>46</v>
      </c>
      <c r="D843" t="s">
        <v>31</v>
      </c>
      <c r="E843" t="s">
        <v>181</v>
      </c>
      <c r="F843" t="s">
        <v>32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33</v>
      </c>
      <c r="N843">
        <v>60.3</v>
      </c>
      <c r="O843">
        <v>4.7619047620000003</v>
      </c>
      <c r="P843">
        <v>3.0150000000000001</v>
      </c>
      <c r="Q843">
        <v>6</v>
      </c>
      <c r="R843" s="3">
        <f t="shared" si="52"/>
        <v>60.3</v>
      </c>
      <c r="S843" t="str">
        <f t="shared" si="53"/>
        <v>February</v>
      </c>
      <c r="T843">
        <f t="shared" si="54"/>
        <v>2</v>
      </c>
      <c r="U843" t="str">
        <f t="shared" si="55"/>
        <v>Thursday</v>
      </c>
    </row>
    <row r="844" spans="1:21" x14ac:dyDescent="0.2">
      <c r="A844" t="s">
        <v>882</v>
      </c>
      <c r="B844" t="s">
        <v>22</v>
      </c>
      <c r="C844" t="s">
        <v>23</v>
      </c>
      <c r="D844" t="s">
        <v>24</v>
      </c>
      <c r="E844" t="s">
        <v>25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  <c r="R844" s="3">
        <f t="shared" si="52"/>
        <v>78.94</v>
      </c>
      <c r="S844" t="str">
        <f t="shared" si="53"/>
        <v>February</v>
      </c>
      <c r="T844">
        <f t="shared" si="54"/>
        <v>2</v>
      </c>
      <c r="U844" t="str">
        <f t="shared" si="55"/>
        <v>Sunday</v>
      </c>
    </row>
    <row r="845" spans="1:21" x14ac:dyDescent="0.2">
      <c r="A845" t="s">
        <v>883</v>
      </c>
      <c r="B845" t="s">
        <v>29</v>
      </c>
      <c r="C845" t="s">
        <v>30</v>
      </c>
      <c r="D845" t="s">
        <v>24</v>
      </c>
      <c r="E845" t="s">
        <v>25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  <c r="R845" s="3">
        <f t="shared" si="52"/>
        <v>29.74</v>
      </c>
      <c r="S845" t="str">
        <f t="shared" si="53"/>
        <v>February</v>
      </c>
      <c r="T845">
        <f t="shared" si="54"/>
        <v>2</v>
      </c>
      <c r="U845" t="str">
        <f t="shared" si="55"/>
        <v>Wednesday</v>
      </c>
    </row>
    <row r="846" spans="1:21" x14ac:dyDescent="0.2">
      <c r="A846" t="s">
        <v>884</v>
      </c>
      <c r="B846" t="s">
        <v>22</v>
      </c>
      <c r="C846" t="s">
        <v>23</v>
      </c>
      <c r="D846" t="s">
        <v>31</v>
      </c>
      <c r="E846" t="s">
        <v>181</v>
      </c>
      <c r="F846" t="s">
        <v>49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33</v>
      </c>
      <c r="N846">
        <v>21.32</v>
      </c>
      <c r="O846">
        <v>4.7619047620000003</v>
      </c>
      <c r="P846">
        <v>1.0660000000000001</v>
      </c>
      <c r="Q846">
        <v>5.9</v>
      </c>
      <c r="R846" s="3">
        <f t="shared" si="52"/>
        <v>21.32</v>
      </c>
      <c r="S846" t="str">
        <f t="shared" si="53"/>
        <v>January</v>
      </c>
      <c r="T846">
        <f t="shared" si="54"/>
        <v>1</v>
      </c>
      <c r="U846" t="str">
        <f t="shared" si="55"/>
        <v>Saturday</v>
      </c>
    </row>
    <row r="847" spans="1:21" x14ac:dyDescent="0.2">
      <c r="A847" t="s">
        <v>885</v>
      </c>
      <c r="B847" t="s">
        <v>22</v>
      </c>
      <c r="C847" t="s">
        <v>23</v>
      </c>
      <c r="D847" t="s">
        <v>24</v>
      </c>
      <c r="E847" t="s">
        <v>181</v>
      </c>
      <c r="F847" t="s">
        <v>32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  <c r="R847" s="3">
        <f t="shared" si="52"/>
        <v>281.34000000000003</v>
      </c>
      <c r="S847" t="str">
        <f t="shared" si="53"/>
        <v>January</v>
      </c>
      <c r="T847">
        <f t="shared" si="54"/>
        <v>1</v>
      </c>
      <c r="U847" t="str">
        <f t="shared" si="55"/>
        <v>Wednesday</v>
      </c>
    </row>
    <row r="848" spans="1:21" x14ac:dyDescent="0.2">
      <c r="A848" t="s">
        <v>886</v>
      </c>
      <c r="B848" t="s">
        <v>22</v>
      </c>
      <c r="C848" t="s">
        <v>23</v>
      </c>
      <c r="D848" t="s">
        <v>24</v>
      </c>
      <c r="E848" t="s">
        <v>181</v>
      </c>
      <c r="F848" t="s">
        <v>32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27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3">
        <f t="shared" si="52"/>
        <v>73.260000000000005</v>
      </c>
      <c r="S848" t="str">
        <f t="shared" si="53"/>
        <v>January</v>
      </c>
      <c r="T848">
        <f t="shared" si="54"/>
        <v>1</v>
      </c>
      <c r="U848" t="str">
        <f t="shared" si="55"/>
        <v>Sunday</v>
      </c>
    </row>
    <row r="849" spans="1:21" x14ac:dyDescent="0.2">
      <c r="A849" t="s">
        <v>887</v>
      </c>
      <c r="B849" t="s">
        <v>29</v>
      </c>
      <c r="C849" t="s">
        <v>30</v>
      </c>
      <c r="D849" t="s">
        <v>31</v>
      </c>
      <c r="E849" t="s">
        <v>25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  <c r="R849" s="3">
        <f t="shared" si="52"/>
        <v>22.38</v>
      </c>
      <c r="S849" t="str">
        <f t="shared" si="53"/>
        <v>January</v>
      </c>
      <c r="T849">
        <f t="shared" si="54"/>
        <v>1</v>
      </c>
      <c r="U849" t="str">
        <f t="shared" si="55"/>
        <v>Wednesday</v>
      </c>
    </row>
    <row r="850" spans="1:21" x14ac:dyDescent="0.2">
      <c r="A850" t="s">
        <v>888</v>
      </c>
      <c r="B850" t="s">
        <v>29</v>
      </c>
      <c r="C850" t="s">
        <v>30</v>
      </c>
      <c r="D850" t="s">
        <v>24</v>
      </c>
      <c r="E850" t="s">
        <v>25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33</v>
      </c>
      <c r="N850">
        <v>655.92</v>
      </c>
      <c r="O850">
        <v>4.7619047620000003</v>
      </c>
      <c r="P850">
        <v>32.795999999999999</v>
      </c>
      <c r="Q850">
        <v>4</v>
      </c>
      <c r="R850" s="3">
        <f t="shared" si="52"/>
        <v>655.92</v>
      </c>
      <c r="S850" t="str">
        <f t="shared" si="53"/>
        <v>August</v>
      </c>
      <c r="T850">
        <f t="shared" si="54"/>
        <v>8</v>
      </c>
      <c r="U850" t="str">
        <f t="shared" si="55"/>
        <v>Thursday</v>
      </c>
    </row>
    <row r="851" spans="1:21" x14ac:dyDescent="0.2">
      <c r="A851" t="s">
        <v>889</v>
      </c>
      <c r="B851" t="s">
        <v>22</v>
      </c>
      <c r="C851" t="s">
        <v>23</v>
      </c>
      <c r="D851" t="s">
        <v>31</v>
      </c>
      <c r="E851" t="s">
        <v>25</v>
      </c>
      <c r="F851" t="s">
        <v>49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33</v>
      </c>
      <c r="N851">
        <v>594.6</v>
      </c>
      <c r="O851">
        <v>4.7619047620000003</v>
      </c>
      <c r="P851">
        <v>29.73</v>
      </c>
      <c r="Q851">
        <v>4.2</v>
      </c>
      <c r="R851" s="3">
        <f t="shared" si="52"/>
        <v>594.59999999999991</v>
      </c>
      <c r="S851" t="str">
        <f t="shared" si="53"/>
        <v>January</v>
      </c>
      <c r="T851">
        <f t="shared" si="54"/>
        <v>1</v>
      </c>
      <c r="U851" t="str">
        <f t="shared" si="55"/>
        <v>Saturday</v>
      </c>
    </row>
    <row r="852" spans="1:21" x14ac:dyDescent="0.2">
      <c r="A852" t="s">
        <v>890</v>
      </c>
      <c r="B852" t="s">
        <v>22</v>
      </c>
      <c r="C852" t="s">
        <v>23</v>
      </c>
      <c r="D852" t="s">
        <v>31</v>
      </c>
      <c r="E852" t="s">
        <v>181</v>
      </c>
      <c r="F852" t="s">
        <v>49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33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3">
        <f t="shared" si="52"/>
        <v>74.099999999999994</v>
      </c>
      <c r="S852" t="str">
        <f t="shared" si="53"/>
        <v>January</v>
      </c>
      <c r="T852">
        <f t="shared" si="54"/>
        <v>1</v>
      </c>
      <c r="U852" t="str">
        <f t="shared" si="55"/>
        <v>Friday</v>
      </c>
    </row>
    <row r="853" spans="1:21" x14ac:dyDescent="0.2">
      <c r="A853" t="s">
        <v>891</v>
      </c>
      <c r="B853" t="s">
        <v>22</v>
      </c>
      <c r="C853" t="s">
        <v>23</v>
      </c>
      <c r="D853" t="s">
        <v>31</v>
      </c>
      <c r="E853" t="s">
        <v>25</v>
      </c>
      <c r="F853" t="s">
        <v>49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27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3">
        <f t="shared" si="52"/>
        <v>196.96</v>
      </c>
      <c r="S853" t="str">
        <f t="shared" si="53"/>
        <v>February</v>
      </c>
      <c r="T853">
        <f t="shared" si="54"/>
        <v>2</v>
      </c>
      <c r="U853" t="str">
        <f t="shared" si="55"/>
        <v>Tuesday</v>
      </c>
    </row>
    <row r="854" spans="1:21" x14ac:dyDescent="0.2">
      <c r="A854" t="s">
        <v>892</v>
      </c>
      <c r="B854" t="s">
        <v>29</v>
      </c>
      <c r="C854" t="s">
        <v>30</v>
      </c>
      <c r="D854" t="s">
        <v>31</v>
      </c>
      <c r="E854" t="s">
        <v>181</v>
      </c>
      <c r="F854" t="s">
        <v>26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27</v>
      </c>
      <c r="N854">
        <v>372.33</v>
      </c>
      <c r="O854">
        <v>4.7619047620000003</v>
      </c>
      <c r="P854">
        <v>18.616499999999998</v>
      </c>
      <c r="Q854">
        <v>5</v>
      </c>
      <c r="R854" s="3">
        <f t="shared" si="52"/>
        <v>372.33</v>
      </c>
      <c r="S854" t="str">
        <f t="shared" si="53"/>
        <v>January</v>
      </c>
      <c r="T854">
        <f t="shared" si="54"/>
        <v>1</v>
      </c>
      <c r="U854" t="str">
        <f t="shared" si="55"/>
        <v>Monday</v>
      </c>
    </row>
    <row r="855" spans="1:21" x14ac:dyDescent="0.2">
      <c r="A855" t="s">
        <v>893</v>
      </c>
      <c r="B855" t="s">
        <v>45</v>
      </c>
      <c r="C855" t="s">
        <v>46</v>
      </c>
      <c r="D855" t="s">
        <v>31</v>
      </c>
      <c r="E855" t="s">
        <v>25</v>
      </c>
      <c r="F855" t="s">
        <v>32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27</v>
      </c>
      <c r="N855">
        <v>527.9</v>
      </c>
      <c r="O855">
        <v>4.7619047620000003</v>
      </c>
      <c r="P855">
        <v>26.395</v>
      </c>
      <c r="Q855">
        <v>10</v>
      </c>
      <c r="R855" s="3">
        <f t="shared" si="52"/>
        <v>527.9</v>
      </c>
      <c r="S855" t="str">
        <f t="shared" si="53"/>
        <v>February</v>
      </c>
      <c r="T855">
        <f t="shared" si="54"/>
        <v>2</v>
      </c>
      <c r="U855" t="str">
        <f t="shared" si="55"/>
        <v>Monday</v>
      </c>
    </row>
    <row r="856" spans="1:21" x14ac:dyDescent="0.2">
      <c r="A856" t="s">
        <v>894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27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3">
        <f t="shared" si="52"/>
        <v>479.75</v>
      </c>
      <c r="S856" t="str">
        <f t="shared" si="53"/>
        <v>January</v>
      </c>
      <c r="T856">
        <f t="shared" si="54"/>
        <v>1</v>
      </c>
      <c r="U856" t="str">
        <f t="shared" si="55"/>
        <v>Wednesday</v>
      </c>
    </row>
    <row r="857" spans="1:21" x14ac:dyDescent="0.2">
      <c r="A857" t="s">
        <v>895</v>
      </c>
      <c r="B857" t="s">
        <v>45</v>
      </c>
      <c r="C857" t="s">
        <v>46</v>
      </c>
      <c r="D857" t="s">
        <v>31</v>
      </c>
      <c r="E857" t="s">
        <v>25</v>
      </c>
      <c r="F857" t="s">
        <v>49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33</v>
      </c>
      <c r="N857">
        <v>328.59</v>
      </c>
      <c r="O857">
        <v>4.7619047620000003</v>
      </c>
      <c r="P857">
        <v>16.429500000000001</v>
      </c>
      <c r="Q857">
        <v>4.2</v>
      </c>
      <c r="R857" s="3">
        <f t="shared" si="52"/>
        <v>328.59</v>
      </c>
      <c r="S857" t="str">
        <f t="shared" si="53"/>
        <v>February</v>
      </c>
      <c r="T857">
        <f t="shared" si="54"/>
        <v>2</v>
      </c>
      <c r="U857" t="str">
        <f t="shared" si="55"/>
        <v>Saturday</v>
      </c>
    </row>
    <row r="858" spans="1:21" x14ac:dyDescent="0.2">
      <c r="A858" t="s">
        <v>896</v>
      </c>
      <c r="B858" t="s">
        <v>45</v>
      </c>
      <c r="C858" t="s">
        <v>46</v>
      </c>
      <c r="D858" t="s">
        <v>31</v>
      </c>
      <c r="E858" t="s">
        <v>181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33</v>
      </c>
      <c r="N858">
        <v>168.96</v>
      </c>
      <c r="O858">
        <v>4.7619047620000003</v>
      </c>
      <c r="P858">
        <v>8.4480000000000004</v>
      </c>
      <c r="Q858">
        <v>6.3</v>
      </c>
      <c r="R858" s="3">
        <f t="shared" si="52"/>
        <v>168.96</v>
      </c>
      <c r="S858" t="str">
        <f t="shared" si="53"/>
        <v>January</v>
      </c>
      <c r="T858">
        <f t="shared" si="54"/>
        <v>1</v>
      </c>
      <c r="U858" t="str">
        <f t="shared" si="55"/>
        <v>Tuesday</v>
      </c>
    </row>
    <row r="859" spans="1:21" x14ac:dyDescent="0.2">
      <c r="A859" t="s">
        <v>897</v>
      </c>
      <c r="B859" t="s">
        <v>22</v>
      </c>
      <c r="C859" t="s">
        <v>23</v>
      </c>
      <c r="D859" t="s">
        <v>24</v>
      </c>
      <c r="E859" t="s">
        <v>25</v>
      </c>
      <c r="F859" t="s">
        <v>35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33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3">
        <f t="shared" si="52"/>
        <v>113.24</v>
      </c>
      <c r="S859" t="str">
        <f t="shared" si="53"/>
        <v>July</v>
      </c>
      <c r="T859">
        <f t="shared" si="54"/>
        <v>7</v>
      </c>
      <c r="U859" t="str">
        <f t="shared" si="55"/>
        <v>Wednesday</v>
      </c>
    </row>
    <row r="860" spans="1:21" x14ac:dyDescent="0.2">
      <c r="A860" t="s">
        <v>898</v>
      </c>
      <c r="B860" t="s">
        <v>45</v>
      </c>
      <c r="C860" t="s">
        <v>46</v>
      </c>
      <c r="D860" t="s">
        <v>31</v>
      </c>
      <c r="E860" t="s">
        <v>181</v>
      </c>
      <c r="F860" t="s">
        <v>26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33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3">
        <f t="shared" si="52"/>
        <v>345.54</v>
      </c>
      <c r="S860" t="str">
        <f t="shared" si="53"/>
        <v>February</v>
      </c>
      <c r="T860">
        <f t="shared" si="54"/>
        <v>2</v>
      </c>
      <c r="U860" t="str">
        <f t="shared" si="55"/>
        <v>Friday</v>
      </c>
    </row>
    <row r="861" spans="1:21" x14ac:dyDescent="0.2">
      <c r="A861" t="s">
        <v>899</v>
      </c>
      <c r="B861" t="s">
        <v>22</v>
      </c>
      <c r="C861" t="s">
        <v>23</v>
      </c>
      <c r="D861" t="s">
        <v>24</v>
      </c>
      <c r="E861" t="s">
        <v>25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33</v>
      </c>
      <c r="N861">
        <v>428.67</v>
      </c>
      <c r="O861">
        <v>4.7619047620000003</v>
      </c>
      <c r="P861">
        <v>21.433499999999999</v>
      </c>
      <c r="Q861">
        <v>5</v>
      </c>
      <c r="R861" s="3">
        <f t="shared" si="52"/>
        <v>428.67</v>
      </c>
      <c r="S861" t="str">
        <f t="shared" si="53"/>
        <v>January</v>
      </c>
      <c r="T861">
        <f t="shared" si="54"/>
        <v>1</v>
      </c>
      <c r="U861" t="str">
        <f t="shared" si="55"/>
        <v>Wednesday</v>
      </c>
    </row>
    <row r="862" spans="1:21" x14ac:dyDescent="0.2">
      <c r="A862" t="s">
        <v>900</v>
      </c>
      <c r="B862" t="s">
        <v>29</v>
      </c>
      <c r="C862" t="s">
        <v>30</v>
      </c>
      <c r="D862" t="s">
        <v>24</v>
      </c>
      <c r="E862" t="s">
        <v>25</v>
      </c>
      <c r="F862" t="s">
        <v>35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27</v>
      </c>
      <c r="N862">
        <v>86.27</v>
      </c>
      <c r="O862">
        <v>4.7619047620000003</v>
      </c>
      <c r="P862">
        <v>4.3135000000000003</v>
      </c>
      <c r="Q862">
        <v>7</v>
      </c>
      <c r="R862" s="3">
        <f t="shared" si="52"/>
        <v>86.27</v>
      </c>
      <c r="S862" t="str">
        <f t="shared" si="53"/>
        <v>February</v>
      </c>
      <c r="T862">
        <f t="shared" si="54"/>
        <v>2</v>
      </c>
      <c r="U862" t="str">
        <f t="shared" si="55"/>
        <v>Wednesday</v>
      </c>
    </row>
    <row r="863" spans="1:21" x14ac:dyDescent="0.2">
      <c r="A863" t="s">
        <v>901</v>
      </c>
      <c r="B863" t="s">
        <v>22</v>
      </c>
      <c r="C863" t="s">
        <v>23</v>
      </c>
      <c r="D863" t="s">
        <v>24</v>
      </c>
      <c r="E863" t="s">
        <v>181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27</v>
      </c>
      <c r="N863">
        <v>25.52</v>
      </c>
      <c r="O863">
        <v>4.7619047620000003</v>
      </c>
      <c r="P863">
        <v>1.276</v>
      </c>
      <c r="Q863">
        <v>7.8</v>
      </c>
      <c r="R863" s="3">
        <f t="shared" si="52"/>
        <v>25.52</v>
      </c>
      <c r="S863" t="str">
        <f t="shared" si="53"/>
        <v>August</v>
      </c>
      <c r="T863">
        <f t="shared" si="54"/>
        <v>8</v>
      </c>
      <c r="U863" t="str">
        <f t="shared" si="55"/>
        <v>Thursday</v>
      </c>
    </row>
    <row r="864" spans="1:21" x14ac:dyDescent="0.2">
      <c r="A864" t="s">
        <v>902</v>
      </c>
      <c r="B864" t="s">
        <v>45</v>
      </c>
      <c r="C864" t="s">
        <v>46</v>
      </c>
      <c r="D864" t="s">
        <v>31</v>
      </c>
      <c r="E864" t="s">
        <v>25</v>
      </c>
      <c r="F864" t="s">
        <v>35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  <c r="R864" s="3">
        <f t="shared" si="52"/>
        <v>101.52</v>
      </c>
      <c r="S864" t="str">
        <f t="shared" si="53"/>
        <v>March</v>
      </c>
      <c r="T864">
        <f t="shared" si="54"/>
        <v>3</v>
      </c>
      <c r="U864" t="str">
        <f t="shared" si="55"/>
        <v>Sunday</v>
      </c>
    </row>
    <row r="865" spans="1:21" x14ac:dyDescent="0.2">
      <c r="A865" t="s">
        <v>903</v>
      </c>
      <c r="B865" t="s">
        <v>45</v>
      </c>
      <c r="C865" t="s">
        <v>46</v>
      </c>
      <c r="D865" t="s">
        <v>31</v>
      </c>
      <c r="E865" t="s">
        <v>25</v>
      </c>
      <c r="F865" t="s">
        <v>35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33</v>
      </c>
      <c r="N865">
        <v>357.49</v>
      </c>
      <c r="O865">
        <v>4.7619047620000003</v>
      </c>
      <c r="P865">
        <v>17.874500000000001</v>
      </c>
      <c r="Q865">
        <v>7</v>
      </c>
      <c r="R865" s="3">
        <f t="shared" si="52"/>
        <v>357.49</v>
      </c>
      <c r="S865" t="str">
        <f t="shared" si="53"/>
        <v>December</v>
      </c>
      <c r="T865">
        <f t="shared" si="54"/>
        <v>12</v>
      </c>
      <c r="U865" t="str">
        <f t="shared" si="55"/>
        <v>Sunday</v>
      </c>
    </row>
    <row r="866" spans="1:21" x14ac:dyDescent="0.2">
      <c r="A866" t="s">
        <v>904</v>
      </c>
      <c r="B866" t="s">
        <v>22</v>
      </c>
      <c r="C866" t="s">
        <v>23</v>
      </c>
      <c r="D866" t="s">
        <v>24</v>
      </c>
      <c r="E866" t="s">
        <v>25</v>
      </c>
      <c r="F866" t="s">
        <v>32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33</v>
      </c>
      <c r="N866">
        <v>238.77</v>
      </c>
      <c r="O866">
        <v>4.7619047620000003</v>
      </c>
      <c r="P866">
        <v>11.938499999999999</v>
      </c>
      <c r="Q866">
        <v>6.6</v>
      </c>
      <c r="R866" s="3">
        <f t="shared" si="52"/>
        <v>238.77</v>
      </c>
      <c r="S866" t="str">
        <f t="shared" si="53"/>
        <v>August</v>
      </c>
      <c r="T866">
        <f t="shared" si="54"/>
        <v>8</v>
      </c>
      <c r="U866" t="str">
        <f t="shared" si="55"/>
        <v>Thursday</v>
      </c>
    </row>
    <row r="867" spans="1:21" x14ac:dyDescent="0.2">
      <c r="A867" t="s">
        <v>905</v>
      </c>
      <c r="B867" t="s">
        <v>29</v>
      </c>
      <c r="C867" t="s">
        <v>30</v>
      </c>
      <c r="D867" t="s">
        <v>24</v>
      </c>
      <c r="E867" t="s">
        <v>181</v>
      </c>
      <c r="F867" t="s">
        <v>26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27</v>
      </c>
      <c r="N867">
        <v>101.43</v>
      </c>
      <c r="O867">
        <v>4.7619047620000003</v>
      </c>
      <c r="P867">
        <v>5.0715000000000003</v>
      </c>
      <c r="Q867">
        <v>7.3</v>
      </c>
      <c r="R867" s="3">
        <f t="shared" si="52"/>
        <v>101.43</v>
      </c>
      <c r="S867" t="str">
        <f t="shared" si="53"/>
        <v>January</v>
      </c>
      <c r="T867">
        <f t="shared" si="54"/>
        <v>1</v>
      </c>
      <c r="U867" t="str">
        <f t="shared" si="55"/>
        <v>Saturday</v>
      </c>
    </row>
    <row r="868" spans="1:21" x14ac:dyDescent="0.2">
      <c r="A868" t="s">
        <v>906</v>
      </c>
      <c r="B868" t="s">
        <v>45</v>
      </c>
      <c r="C868" t="s">
        <v>46</v>
      </c>
      <c r="D868" t="s">
        <v>24</v>
      </c>
      <c r="E868" t="s">
        <v>181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  <c r="R868" s="3">
        <f t="shared" si="52"/>
        <v>724.24</v>
      </c>
      <c r="S868" t="str">
        <f t="shared" si="53"/>
        <v>March</v>
      </c>
      <c r="T868">
        <f t="shared" si="54"/>
        <v>3</v>
      </c>
      <c r="U868" t="str">
        <f t="shared" si="55"/>
        <v>Friday</v>
      </c>
    </row>
    <row r="869" spans="1:21" x14ac:dyDescent="0.2">
      <c r="A869" t="s">
        <v>907</v>
      </c>
      <c r="B869" t="s">
        <v>29</v>
      </c>
      <c r="C869" t="s">
        <v>30</v>
      </c>
      <c r="D869" t="s">
        <v>24</v>
      </c>
      <c r="E869" t="s">
        <v>25</v>
      </c>
      <c r="F869" t="s">
        <v>26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27</v>
      </c>
      <c r="N869">
        <v>125.64</v>
      </c>
      <c r="O869">
        <v>4.7619047620000003</v>
      </c>
      <c r="P869">
        <v>6.282</v>
      </c>
      <c r="Q869">
        <v>4.9000000000000004</v>
      </c>
      <c r="R869" s="3">
        <f t="shared" si="52"/>
        <v>125.64</v>
      </c>
      <c r="S869" t="str">
        <f t="shared" si="53"/>
        <v>January</v>
      </c>
      <c r="T869">
        <f t="shared" si="54"/>
        <v>1</v>
      </c>
      <c r="U869" t="str">
        <f t="shared" si="55"/>
        <v>Thursday</v>
      </c>
    </row>
    <row r="870" spans="1:21" x14ac:dyDescent="0.2">
      <c r="A870" t="s">
        <v>908</v>
      </c>
      <c r="B870" t="s">
        <v>29</v>
      </c>
      <c r="C870" t="s">
        <v>30</v>
      </c>
      <c r="D870" t="s">
        <v>24</v>
      </c>
      <c r="E870" t="s">
        <v>181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  <c r="R870" s="3">
        <f t="shared" si="52"/>
        <v>72.929999999999993</v>
      </c>
      <c r="S870" t="str">
        <f t="shared" si="53"/>
        <v>August</v>
      </c>
      <c r="T870">
        <f t="shared" si="54"/>
        <v>8</v>
      </c>
      <c r="U870" t="str">
        <f t="shared" si="55"/>
        <v>Thursday</v>
      </c>
    </row>
    <row r="871" spans="1:21" x14ac:dyDescent="0.2">
      <c r="A871" t="s">
        <v>909</v>
      </c>
      <c r="B871" t="s">
        <v>22</v>
      </c>
      <c r="C871" t="s">
        <v>23</v>
      </c>
      <c r="D871" t="s">
        <v>31</v>
      </c>
      <c r="E871" t="s">
        <v>181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27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3">
        <f t="shared" si="52"/>
        <v>258.36</v>
      </c>
      <c r="S871" t="str">
        <f t="shared" si="53"/>
        <v>June</v>
      </c>
      <c r="T871">
        <f t="shared" si="54"/>
        <v>6</v>
      </c>
      <c r="U871" t="str">
        <f t="shared" si="55"/>
        <v>Saturday</v>
      </c>
    </row>
    <row r="872" spans="1:21" x14ac:dyDescent="0.2">
      <c r="A872" t="s">
        <v>910</v>
      </c>
      <c r="B872" t="s">
        <v>22</v>
      </c>
      <c r="C872" t="s">
        <v>23</v>
      </c>
      <c r="D872" t="s">
        <v>24</v>
      </c>
      <c r="E872" t="s">
        <v>181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  <c r="R872" s="3">
        <f t="shared" si="52"/>
        <v>173.74</v>
      </c>
      <c r="S872" t="str">
        <f t="shared" si="53"/>
        <v>February</v>
      </c>
      <c r="T872">
        <f t="shared" si="54"/>
        <v>2</v>
      </c>
      <c r="U872" t="str">
        <f t="shared" si="55"/>
        <v>Saturday</v>
      </c>
    </row>
    <row r="873" spans="1:21" x14ac:dyDescent="0.2">
      <c r="A873" t="s">
        <v>911</v>
      </c>
      <c r="B873" t="s">
        <v>29</v>
      </c>
      <c r="C873" t="s">
        <v>30</v>
      </c>
      <c r="D873" t="s">
        <v>31</v>
      </c>
      <c r="E873" t="s">
        <v>181</v>
      </c>
      <c r="F873" t="s">
        <v>49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27</v>
      </c>
      <c r="N873">
        <v>56.5</v>
      </c>
      <c r="O873">
        <v>4.7619047620000003</v>
      </c>
      <c r="P873">
        <v>2.8250000000000002</v>
      </c>
      <c r="Q873">
        <v>9.6</v>
      </c>
      <c r="R873" s="3">
        <f t="shared" si="52"/>
        <v>56.5</v>
      </c>
      <c r="S873" t="str">
        <f t="shared" si="53"/>
        <v>March</v>
      </c>
      <c r="T873">
        <f t="shared" si="54"/>
        <v>3</v>
      </c>
      <c r="U873" t="str">
        <f t="shared" si="55"/>
        <v>Wednesday</v>
      </c>
    </row>
    <row r="874" spans="1:21" x14ac:dyDescent="0.2">
      <c r="A874" t="s">
        <v>912</v>
      </c>
      <c r="B874" t="s">
        <v>45</v>
      </c>
      <c r="C874" t="s">
        <v>46</v>
      </c>
      <c r="D874" t="s">
        <v>24</v>
      </c>
      <c r="E874" t="s">
        <v>25</v>
      </c>
      <c r="F874" t="s">
        <v>32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33</v>
      </c>
      <c r="N874">
        <v>214.3</v>
      </c>
      <c r="O874">
        <v>4.7619047620000003</v>
      </c>
      <c r="P874">
        <v>10.715</v>
      </c>
      <c r="Q874">
        <v>6.2</v>
      </c>
      <c r="R874" s="3">
        <f t="shared" si="52"/>
        <v>214.3</v>
      </c>
      <c r="S874" t="str">
        <f t="shared" si="53"/>
        <v>January</v>
      </c>
      <c r="T874">
        <f t="shared" si="54"/>
        <v>1</v>
      </c>
      <c r="U874" t="str">
        <f t="shared" si="55"/>
        <v>Monday</v>
      </c>
    </row>
    <row r="875" spans="1:21" x14ac:dyDescent="0.2">
      <c r="A875" t="s">
        <v>913</v>
      </c>
      <c r="B875" t="s">
        <v>22</v>
      </c>
      <c r="C875" t="s">
        <v>23</v>
      </c>
      <c r="D875" t="s">
        <v>24</v>
      </c>
      <c r="E875" t="s">
        <v>181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33</v>
      </c>
      <c r="N875">
        <v>534.36</v>
      </c>
      <c r="O875">
        <v>4.7619047620000003</v>
      </c>
      <c r="P875">
        <v>26.718</v>
      </c>
      <c r="Q875">
        <v>9.9</v>
      </c>
      <c r="R875" s="3">
        <f t="shared" si="52"/>
        <v>534.36</v>
      </c>
      <c r="S875" t="str">
        <f t="shared" si="53"/>
        <v>January</v>
      </c>
      <c r="T875">
        <f t="shared" si="54"/>
        <v>1</v>
      </c>
      <c r="U875" t="str">
        <f t="shared" si="55"/>
        <v>Friday</v>
      </c>
    </row>
    <row r="876" spans="1:21" x14ac:dyDescent="0.2">
      <c r="A876" t="s">
        <v>914</v>
      </c>
      <c r="B876" t="s">
        <v>22</v>
      </c>
      <c r="C876" t="s">
        <v>23</v>
      </c>
      <c r="D876" t="s">
        <v>24</v>
      </c>
      <c r="E876" t="s">
        <v>181</v>
      </c>
      <c r="F876" t="s">
        <v>35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  <c r="R876" s="3">
        <f t="shared" si="52"/>
        <v>93.16</v>
      </c>
      <c r="S876" t="str">
        <f t="shared" si="53"/>
        <v>March</v>
      </c>
      <c r="T876">
        <f t="shared" si="54"/>
        <v>3</v>
      </c>
      <c r="U876" t="str">
        <f t="shared" si="55"/>
        <v>Tuesday</v>
      </c>
    </row>
    <row r="877" spans="1:21" x14ac:dyDescent="0.2">
      <c r="A877" t="s">
        <v>915</v>
      </c>
      <c r="B877" t="s">
        <v>29</v>
      </c>
      <c r="C877" t="s">
        <v>30</v>
      </c>
      <c r="D877" t="s">
        <v>31</v>
      </c>
      <c r="E877" t="s">
        <v>181</v>
      </c>
      <c r="F877" t="s">
        <v>35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27</v>
      </c>
      <c r="N877">
        <v>522.08000000000004</v>
      </c>
      <c r="O877">
        <v>4.7619047620000003</v>
      </c>
      <c r="P877">
        <v>26.103999999999999</v>
      </c>
      <c r="Q877">
        <v>6.3</v>
      </c>
      <c r="R877" s="3">
        <f t="shared" si="52"/>
        <v>522.08000000000004</v>
      </c>
      <c r="S877" t="str">
        <f t="shared" si="53"/>
        <v>March</v>
      </c>
      <c r="T877">
        <f t="shared" si="54"/>
        <v>3</v>
      </c>
      <c r="U877" t="str">
        <f t="shared" si="55"/>
        <v>Friday</v>
      </c>
    </row>
    <row r="878" spans="1:21" x14ac:dyDescent="0.2">
      <c r="A878" t="s">
        <v>916</v>
      </c>
      <c r="B878" t="s">
        <v>29</v>
      </c>
      <c r="C878" t="s">
        <v>30</v>
      </c>
      <c r="D878" t="s">
        <v>24</v>
      </c>
      <c r="E878" t="s">
        <v>181</v>
      </c>
      <c r="F878" t="s">
        <v>49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33</v>
      </c>
      <c r="N878">
        <v>52.35</v>
      </c>
      <c r="O878">
        <v>4.7619047620000003</v>
      </c>
      <c r="P878">
        <v>2.6175000000000002</v>
      </c>
      <c r="Q878">
        <v>4</v>
      </c>
      <c r="R878" s="3">
        <f t="shared" si="52"/>
        <v>52.35</v>
      </c>
      <c r="S878" t="str">
        <f t="shared" si="53"/>
        <v>December</v>
      </c>
      <c r="T878">
        <f t="shared" si="54"/>
        <v>12</v>
      </c>
      <c r="U878" t="str">
        <f t="shared" si="55"/>
        <v>Monday</v>
      </c>
    </row>
    <row r="879" spans="1:21" x14ac:dyDescent="0.2">
      <c r="A879" t="s">
        <v>917</v>
      </c>
      <c r="B879" t="s">
        <v>45</v>
      </c>
      <c r="C879" t="s">
        <v>46</v>
      </c>
      <c r="D879" t="s">
        <v>24</v>
      </c>
      <c r="E879" t="s">
        <v>181</v>
      </c>
      <c r="F879" t="s">
        <v>32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33</v>
      </c>
      <c r="N879">
        <v>39.75</v>
      </c>
      <c r="O879">
        <v>4.7619047620000003</v>
      </c>
      <c r="P879">
        <v>1.9875</v>
      </c>
      <c r="Q879">
        <v>6.1</v>
      </c>
      <c r="R879" s="3">
        <f t="shared" si="52"/>
        <v>39.75</v>
      </c>
      <c r="S879" t="str">
        <f t="shared" si="53"/>
        <v>February</v>
      </c>
      <c r="T879">
        <f t="shared" si="54"/>
        <v>2</v>
      </c>
      <c r="U879" t="str">
        <f t="shared" si="55"/>
        <v>Monday</v>
      </c>
    </row>
    <row r="880" spans="1:21" x14ac:dyDescent="0.2">
      <c r="A880" t="s">
        <v>918</v>
      </c>
      <c r="B880" t="s">
        <v>22</v>
      </c>
      <c r="C880" t="s">
        <v>23</v>
      </c>
      <c r="D880" t="s">
        <v>31</v>
      </c>
      <c r="E880" t="s">
        <v>25</v>
      </c>
      <c r="F880" t="s">
        <v>32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  <c r="R880" s="3">
        <f t="shared" si="52"/>
        <v>720.16</v>
      </c>
      <c r="S880" t="str">
        <f t="shared" si="53"/>
        <v>March</v>
      </c>
      <c r="T880">
        <f t="shared" si="54"/>
        <v>3</v>
      </c>
      <c r="U880" t="str">
        <f t="shared" si="55"/>
        <v>Thursday</v>
      </c>
    </row>
    <row r="881" spans="1:21" x14ac:dyDescent="0.2">
      <c r="A881" t="s">
        <v>919</v>
      </c>
      <c r="B881" t="s">
        <v>45</v>
      </c>
      <c r="C881" t="s">
        <v>46</v>
      </c>
      <c r="D881" t="s">
        <v>24</v>
      </c>
      <c r="E881" t="s">
        <v>25</v>
      </c>
      <c r="F881" t="s">
        <v>32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27</v>
      </c>
      <c r="N881">
        <v>96.8</v>
      </c>
      <c r="O881">
        <v>4.7619047620000003</v>
      </c>
      <c r="P881">
        <v>4.84</v>
      </c>
      <c r="Q881">
        <v>8.6</v>
      </c>
      <c r="R881" s="3">
        <f t="shared" si="52"/>
        <v>96.8</v>
      </c>
      <c r="S881" t="str">
        <f t="shared" si="53"/>
        <v>January</v>
      </c>
      <c r="T881">
        <f t="shared" si="54"/>
        <v>1</v>
      </c>
      <c r="U881" t="str">
        <f t="shared" si="55"/>
        <v>Saturday</v>
      </c>
    </row>
    <row r="882" spans="1:21" x14ac:dyDescent="0.2">
      <c r="A882" t="s">
        <v>920</v>
      </c>
      <c r="B882" t="s">
        <v>45</v>
      </c>
      <c r="C882" t="s">
        <v>46</v>
      </c>
      <c r="D882" t="s">
        <v>24</v>
      </c>
      <c r="E882" t="s">
        <v>25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27</v>
      </c>
      <c r="N882">
        <v>332.1</v>
      </c>
      <c r="O882">
        <v>4.7619047620000003</v>
      </c>
      <c r="P882">
        <v>16.605</v>
      </c>
      <c r="Q882">
        <v>6</v>
      </c>
      <c r="R882" s="3">
        <f t="shared" si="52"/>
        <v>332.1</v>
      </c>
      <c r="S882" t="str">
        <f t="shared" si="53"/>
        <v>August</v>
      </c>
      <c r="T882">
        <f t="shared" si="54"/>
        <v>8</v>
      </c>
      <c r="U882" t="str">
        <f t="shared" si="55"/>
        <v>Thursday</v>
      </c>
    </row>
    <row r="883" spans="1:21" x14ac:dyDescent="0.2">
      <c r="A883" t="s">
        <v>921</v>
      </c>
      <c r="B883" t="s">
        <v>29</v>
      </c>
      <c r="C883" t="s">
        <v>30</v>
      </c>
      <c r="D883" t="s">
        <v>24</v>
      </c>
      <c r="E883" t="s">
        <v>25</v>
      </c>
      <c r="F883" t="s">
        <v>49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  <c r="R883" s="3">
        <f t="shared" si="52"/>
        <v>81.44</v>
      </c>
      <c r="S883" t="str">
        <f t="shared" si="53"/>
        <v>March</v>
      </c>
      <c r="T883">
        <f t="shared" si="54"/>
        <v>3</v>
      </c>
      <c r="U883" t="str">
        <f t="shared" si="55"/>
        <v>Saturday</v>
      </c>
    </row>
    <row r="884" spans="1:21" x14ac:dyDescent="0.2">
      <c r="A884" t="s">
        <v>922</v>
      </c>
      <c r="B884" t="s">
        <v>45</v>
      </c>
      <c r="C884" t="s">
        <v>46</v>
      </c>
      <c r="D884" t="s">
        <v>24</v>
      </c>
      <c r="E884" t="s">
        <v>181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  <c r="R884" s="3">
        <f t="shared" si="52"/>
        <v>319.89999999999998</v>
      </c>
      <c r="S884" t="str">
        <f t="shared" si="53"/>
        <v>February</v>
      </c>
      <c r="T884">
        <f t="shared" si="54"/>
        <v>2</v>
      </c>
      <c r="U884" t="str">
        <f t="shared" si="55"/>
        <v>Wednesday</v>
      </c>
    </row>
    <row r="885" spans="1:21" x14ac:dyDescent="0.2">
      <c r="A885" t="s">
        <v>923</v>
      </c>
      <c r="B885" t="s">
        <v>22</v>
      </c>
      <c r="C885" t="s">
        <v>23</v>
      </c>
      <c r="D885" t="s">
        <v>24</v>
      </c>
      <c r="E885" t="s">
        <v>25</v>
      </c>
      <c r="F885" t="s">
        <v>35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27</v>
      </c>
      <c r="N885">
        <v>206.52</v>
      </c>
      <c r="O885">
        <v>4.7619047620000003</v>
      </c>
      <c r="P885">
        <v>10.326000000000001</v>
      </c>
      <c r="Q885">
        <v>7.5</v>
      </c>
      <c r="R885" s="3">
        <f t="shared" si="52"/>
        <v>206.52</v>
      </c>
      <c r="S885" t="str">
        <f t="shared" si="53"/>
        <v>March</v>
      </c>
      <c r="T885">
        <f t="shared" si="54"/>
        <v>3</v>
      </c>
      <c r="U885" t="str">
        <f t="shared" si="55"/>
        <v>Saturday</v>
      </c>
    </row>
    <row r="886" spans="1:21" x14ac:dyDescent="0.2">
      <c r="A886" t="s">
        <v>924</v>
      </c>
      <c r="B886" t="s">
        <v>22</v>
      </c>
      <c r="C886" t="s">
        <v>23</v>
      </c>
      <c r="D886" t="s">
        <v>24</v>
      </c>
      <c r="E886" t="s">
        <v>25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33</v>
      </c>
      <c r="N886">
        <v>166.68</v>
      </c>
      <c r="O886">
        <v>4.7619047620000003</v>
      </c>
      <c r="P886">
        <v>8.3339999999999996</v>
      </c>
      <c r="Q886">
        <v>7.6</v>
      </c>
      <c r="R886" s="3">
        <f t="shared" si="52"/>
        <v>166.68</v>
      </c>
      <c r="S886" t="str">
        <f t="shared" si="53"/>
        <v>March</v>
      </c>
      <c r="T886">
        <f t="shared" si="54"/>
        <v>3</v>
      </c>
      <c r="U886" t="str">
        <f t="shared" si="55"/>
        <v>Tuesday</v>
      </c>
    </row>
    <row r="887" spans="1:21" x14ac:dyDescent="0.2">
      <c r="A887" t="s">
        <v>925</v>
      </c>
      <c r="B887" t="s">
        <v>22</v>
      </c>
      <c r="C887" t="s">
        <v>23</v>
      </c>
      <c r="D887" t="s">
        <v>31</v>
      </c>
      <c r="E887" t="s">
        <v>181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33</v>
      </c>
      <c r="N887">
        <v>319.06</v>
      </c>
      <c r="O887">
        <v>4.7619047620000003</v>
      </c>
      <c r="P887">
        <v>15.952999999999999</v>
      </c>
      <c r="Q887">
        <v>5</v>
      </c>
      <c r="R887" s="3">
        <f t="shared" si="52"/>
        <v>319.06</v>
      </c>
      <c r="S887" t="str">
        <f t="shared" si="53"/>
        <v>January</v>
      </c>
      <c r="T887">
        <f t="shared" si="54"/>
        <v>1</v>
      </c>
      <c r="U887" t="str">
        <f t="shared" si="55"/>
        <v>Sunday</v>
      </c>
    </row>
    <row r="888" spans="1:21" x14ac:dyDescent="0.2">
      <c r="A888" t="s">
        <v>926</v>
      </c>
      <c r="B888" t="s">
        <v>22</v>
      </c>
      <c r="C888" t="s">
        <v>23</v>
      </c>
      <c r="D888" t="s">
        <v>24</v>
      </c>
      <c r="E888" t="s">
        <v>181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27</v>
      </c>
      <c r="N888">
        <v>87.9</v>
      </c>
      <c r="O888">
        <v>4.7619047620000003</v>
      </c>
      <c r="P888">
        <v>4.3949999999999996</v>
      </c>
      <c r="Q888">
        <v>6.7</v>
      </c>
      <c r="R888" s="3">
        <f t="shared" si="52"/>
        <v>87.9</v>
      </c>
      <c r="S888" t="str">
        <f t="shared" si="53"/>
        <v>May</v>
      </c>
      <c r="T888">
        <f t="shared" si="54"/>
        <v>5</v>
      </c>
      <c r="U888" t="str">
        <f t="shared" si="55"/>
        <v>Thursday</v>
      </c>
    </row>
    <row r="889" spans="1:21" x14ac:dyDescent="0.2">
      <c r="A889" t="s">
        <v>927</v>
      </c>
      <c r="B889" t="s">
        <v>22</v>
      </c>
      <c r="C889" t="s">
        <v>23</v>
      </c>
      <c r="D889" t="s">
        <v>24</v>
      </c>
      <c r="E889" t="s">
        <v>25</v>
      </c>
      <c r="F889" t="s">
        <v>32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27</v>
      </c>
      <c r="N889">
        <v>734.7</v>
      </c>
      <c r="O889">
        <v>4.7619047620000003</v>
      </c>
      <c r="P889">
        <v>36.734999999999999</v>
      </c>
      <c r="Q889">
        <v>9.5</v>
      </c>
      <c r="R889" s="3">
        <f t="shared" si="52"/>
        <v>734.7</v>
      </c>
      <c r="S889" t="str">
        <f t="shared" si="53"/>
        <v>March</v>
      </c>
      <c r="T889">
        <f t="shared" si="54"/>
        <v>3</v>
      </c>
      <c r="U889" t="str">
        <f t="shared" si="55"/>
        <v>Saturday</v>
      </c>
    </row>
    <row r="890" spans="1:21" x14ac:dyDescent="0.2">
      <c r="A890" t="s">
        <v>928</v>
      </c>
      <c r="B890" t="s">
        <v>29</v>
      </c>
      <c r="C890" t="s">
        <v>30</v>
      </c>
      <c r="D890" t="s">
        <v>31</v>
      </c>
      <c r="E890" t="s">
        <v>25</v>
      </c>
      <c r="F890" t="s">
        <v>49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27</v>
      </c>
      <c r="N890">
        <v>97.52</v>
      </c>
      <c r="O890">
        <v>4.7619047620000003</v>
      </c>
      <c r="P890">
        <v>4.8760000000000003</v>
      </c>
      <c r="Q890">
        <v>6.8</v>
      </c>
      <c r="R890" s="3">
        <f t="shared" si="52"/>
        <v>97.52</v>
      </c>
      <c r="S890" t="str">
        <f t="shared" si="53"/>
        <v>March</v>
      </c>
      <c r="T890">
        <f t="shared" si="54"/>
        <v>3</v>
      </c>
      <c r="U890" t="str">
        <f t="shared" si="55"/>
        <v>Wednesday</v>
      </c>
    </row>
    <row r="891" spans="1:21" x14ac:dyDescent="0.2">
      <c r="A891" t="s">
        <v>929</v>
      </c>
      <c r="B891" t="s">
        <v>22</v>
      </c>
      <c r="C891" t="s">
        <v>23</v>
      </c>
      <c r="D891" t="s">
        <v>24</v>
      </c>
      <c r="E891" t="s">
        <v>181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27</v>
      </c>
      <c r="N891">
        <v>769.2</v>
      </c>
      <c r="O891">
        <v>4.7619047620000003</v>
      </c>
      <c r="P891">
        <v>38.46</v>
      </c>
      <c r="Q891">
        <v>5.6</v>
      </c>
      <c r="R891" s="3">
        <f t="shared" si="52"/>
        <v>769.2</v>
      </c>
      <c r="S891" t="str">
        <f t="shared" si="53"/>
        <v>March</v>
      </c>
      <c r="T891">
        <f t="shared" si="54"/>
        <v>3</v>
      </c>
      <c r="U891" t="str">
        <f t="shared" si="55"/>
        <v>Sunday</v>
      </c>
    </row>
    <row r="892" spans="1:21" x14ac:dyDescent="0.2">
      <c r="A892" t="s">
        <v>930</v>
      </c>
      <c r="B892" t="s">
        <v>29</v>
      </c>
      <c r="C892" t="s">
        <v>30</v>
      </c>
      <c r="D892" t="s">
        <v>31</v>
      </c>
      <c r="E892" t="s">
        <v>25</v>
      </c>
      <c r="F892" t="s">
        <v>26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33</v>
      </c>
      <c r="N892">
        <v>418.3</v>
      </c>
      <c r="O892">
        <v>4.7619047620000003</v>
      </c>
      <c r="P892">
        <v>20.914999999999999</v>
      </c>
      <c r="Q892">
        <v>7.2</v>
      </c>
      <c r="R892" s="3">
        <f t="shared" si="52"/>
        <v>418.29999999999995</v>
      </c>
      <c r="S892" t="str">
        <f t="shared" si="53"/>
        <v>February</v>
      </c>
      <c r="T892">
        <f t="shared" si="54"/>
        <v>2</v>
      </c>
      <c r="U892" t="str">
        <f t="shared" si="55"/>
        <v>Thursday</v>
      </c>
    </row>
    <row r="893" spans="1:21" x14ac:dyDescent="0.2">
      <c r="A893" t="s">
        <v>931</v>
      </c>
      <c r="B893" t="s">
        <v>45</v>
      </c>
      <c r="C893" t="s">
        <v>46</v>
      </c>
      <c r="D893" t="s">
        <v>31</v>
      </c>
      <c r="E893" t="s">
        <v>25</v>
      </c>
      <c r="F893" t="s">
        <v>32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33</v>
      </c>
      <c r="N893">
        <v>463.28</v>
      </c>
      <c r="O893">
        <v>4.7619047620000003</v>
      </c>
      <c r="P893">
        <v>23.164000000000001</v>
      </c>
      <c r="Q893">
        <v>8.1</v>
      </c>
      <c r="R893" s="3">
        <f t="shared" si="52"/>
        <v>463.28</v>
      </c>
      <c r="S893" t="str">
        <f t="shared" si="53"/>
        <v>July</v>
      </c>
      <c r="T893">
        <f t="shared" si="54"/>
        <v>7</v>
      </c>
      <c r="U893" t="str">
        <f t="shared" si="55"/>
        <v>Tuesday</v>
      </c>
    </row>
    <row r="894" spans="1:21" x14ac:dyDescent="0.2">
      <c r="A894" t="s">
        <v>932</v>
      </c>
      <c r="B894" t="s">
        <v>29</v>
      </c>
      <c r="C894" t="s">
        <v>30</v>
      </c>
      <c r="D894" t="s">
        <v>24</v>
      </c>
      <c r="E894" t="s">
        <v>25</v>
      </c>
      <c r="F894" t="s">
        <v>49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  <c r="R894" s="3">
        <f t="shared" si="52"/>
        <v>462.45</v>
      </c>
      <c r="S894" t="str">
        <f t="shared" si="53"/>
        <v>February</v>
      </c>
      <c r="T894">
        <f t="shared" si="54"/>
        <v>2</v>
      </c>
      <c r="U894" t="str">
        <f t="shared" si="55"/>
        <v>Sunday</v>
      </c>
    </row>
    <row r="895" spans="1:21" x14ac:dyDescent="0.2">
      <c r="A895" t="s">
        <v>933</v>
      </c>
      <c r="B895" t="s">
        <v>45</v>
      </c>
      <c r="C895" t="s">
        <v>46</v>
      </c>
      <c r="D895" t="s">
        <v>31</v>
      </c>
      <c r="E895" t="s">
        <v>181</v>
      </c>
      <c r="F895" t="s">
        <v>32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33</v>
      </c>
      <c r="N895">
        <v>141.9</v>
      </c>
      <c r="O895">
        <v>4.7619047620000003</v>
      </c>
      <c r="P895">
        <v>7.0949999999999998</v>
      </c>
      <c r="Q895">
        <v>9.4</v>
      </c>
      <c r="R895" s="3">
        <f t="shared" si="52"/>
        <v>141.9</v>
      </c>
      <c r="S895" t="str">
        <f t="shared" si="53"/>
        <v>June</v>
      </c>
      <c r="T895">
        <f t="shared" si="54"/>
        <v>6</v>
      </c>
      <c r="U895" t="str">
        <f t="shared" si="55"/>
        <v>Monday</v>
      </c>
    </row>
    <row r="896" spans="1:21" x14ac:dyDescent="0.2">
      <c r="A896" t="s">
        <v>934</v>
      </c>
      <c r="B896" t="s">
        <v>45</v>
      </c>
      <c r="C896" t="s">
        <v>46</v>
      </c>
      <c r="D896" t="s">
        <v>24</v>
      </c>
      <c r="E896" t="s">
        <v>181</v>
      </c>
      <c r="F896" t="s">
        <v>32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  <c r="R896" s="3">
        <f t="shared" si="52"/>
        <v>302.70000000000005</v>
      </c>
      <c r="S896" t="str">
        <f t="shared" si="53"/>
        <v>June</v>
      </c>
      <c r="T896">
        <f t="shared" si="54"/>
        <v>6</v>
      </c>
      <c r="U896" t="str">
        <f t="shared" si="55"/>
        <v>Sunday</v>
      </c>
    </row>
    <row r="897" spans="1:21" x14ac:dyDescent="0.2">
      <c r="A897" t="s">
        <v>935</v>
      </c>
      <c r="B897" t="s">
        <v>45</v>
      </c>
      <c r="C897" t="s">
        <v>46</v>
      </c>
      <c r="D897" t="s">
        <v>31</v>
      </c>
      <c r="E897" t="s">
        <v>181</v>
      </c>
      <c r="F897" t="s">
        <v>26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  <c r="R897" s="3">
        <f t="shared" si="52"/>
        <v>793.28</v>
      </c>
      <c r="S897" t="str">
        <f t="shared" si="53"/>
        <v>January</v>
      </c>
      <c r="T897">
        <f t="shared" si="54"/>
        <v>1</v>
      </c>
      <c r="U897" t="str">
        <f t="shared" si="55"/>
        <v>Monday</v>
      </c>
    </row>
    <row r="898" spans="1:21" x14ac:dyDescent="0.2">
      <c r="A898" t="s">
        <v>936</v>
      </c>
      <c r="B898" t="s">
        <v>29</v>
      </c>
      <c r="C898" t="s">
        <v>30</v>
      </c>
      <c r="D898" t="s">
        <v>31</v>
      </c>
      <c r="E898" t="s">
        <v>181</v>
      </c>
      <c r="F898" t="s">
        <v>49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27</v>
      </c>
      <c r="N898">
        <v>425.18</v>
      </c>
      <c r="O898">
        <v>4.7619047620000003</v>
      </c>
      <c r="P898">
        <v>21.259</v>
      </c>
      <c r="Q898">
        <v>5</v>
      </c>
      <c r="R898" s="3">
        <f t="shared" si="52"/>
        <v>425.18</v>
      </c>
      <c r="S898" t="str">
        <f t="shared" si="53"/>
        <v>January</v>
      </c>
      <c r="T898">
        <f t="shared" si="54"/>
        <v>1</v>
      </c>
      <c r="U898" t="str">
        <f t="shared" si="55"/>
        <v>Friday</v>
      </c>
    </row>
    <row r="899" spans="1:21" x14ac:dyDescent="0.2">
      <c r="A899" t="s">
        <v>937</v>
      </c>
      <c r="B899" t="s">
        <v>29</v>
      </c>
      <c r="C899" t="s">
        <v>30</v>
      </c>
      <c r="D899" t="s">
        <v>24</v>
      </c>
      <c r="E899" t="s">
        <v>25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33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3">
        <f t="shared" ref="R899:R962" si="56">H899*G899</f>
        <v>283.62</v>
      </c>
      <c r="S899" t="str">
        <f t="shared" ref="S899:S962" si="57">TEXT(K899,"mmmm")</f>
        <v>May</v>
      </c>
      <c r="T899">
        <f t="shared" ref="T899:T962" si="58">MONTH(K899)</f>
        <v>5</v>
      </c>
      <c r="U899" t="str">
        <f t="shared" ref="U899:U962" si="59">TEXT(K899,"dddd")</f>
        <v>Thursday</v>
      </c>
    </row>
    <row r="900" spans="1:21" x14ac:dyDescent="0.2">
      <c r="A900" t="s">
        <v>938</v>
      </c>
      <c r="B900" t="s">
        <v>29</v>
      </c>
      <c r="C900" t="s">
        <v>30</v>
      </c>
      <c r="D900" t="s">
        <v>24</v>
      </c>
      <c r="E900" t="s">
        <v>181</v>
      </c>
      <c r="F900" t="s">
        <v>26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33</v>
      </c>
      <c r="N900">
        <v>599.20000000000005</v>
      </c>
      <c r="O900">
        <v>4.7619047620000003</v>
      </c>
      <c r="P900">
        <v>29.96</v>
      </c>
      <c r="Q900">
        <v>5.3</v>
      </c>
      <c r="R900" s="3">
        <f t="shared" si="56"/>
        <v>599.19999999999993</v>
      </c>
      <c r="S900" t="str">
        <f t="shared" si="57"/>
        <v>February</v>
      </c>
      <c r="T900">
        <f t="shared" si="58"/>
        <v>2</v>
      </c>
      <c r="U900" t="str">
        <f t="shared" si="59"/>
        <v>Sunday</v>
      </c>
    </row>
    <row r="901" spans="1:21" x14ac:dyDescent="0.2">
      <c r="A901" t="s">
        <v>939</v>
      </c>
      <c r="B901" t="s">
        <v>22</v>
      </c>
      <c r="C901" t="s">
        <v>23</v>
      </c>
      <c r="D901" t="s">
        <v>24</v>
      </c>
      <c r="E901" t="s">
        <v>181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27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3">
        <f t="shared" si="56"/>
        <v>315.36</v>
      </c>
      <c r="S901" t="str">
        <f t="shared" si="57"/>
        <v>September</v>
      </c>
      <c r="T901">
        <f t="shared" si="58"/>
        <v>9</v>
      </c>
      <c r="U901" t="str">
        <f t="shared" si="59"/>
        <v>Monday</v>
      </c>
    </row>
    <row r="902" spans="1:21" x14ac:dyDescent="0.2">
      <c r="A902" t="s">
        <v>940</v>
      </c>
      <c r="B902" t="s">
        <v>29</v>
      </c>
      <c r="C902" t="s">
        <v>30</v>
      </c>
      <c r="D902" t="s">
        <v>24</v>
      </c>
      <c r="E902" t="s">
        <v>25</v>
      </c>
      <c r="F902" t="s">
        <v>32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  <c r="R902" s="3">
        <f t="shared" si="56"/>
        <v>403.56000000000006</v>
      </c>
      <c r="S902" t="str">
        <f t="shared" si="57"/>
        <v>January</v>
      </c>
      <c r="T902">
        <f t="shared" si="58"/>
        <v>1</v>
      </c>
      <c r="U902" t="str">
        <f t="shared" si="59"/>
        <v>Monday</v>
      </c>
    </row>
    <row r="903" spans="1:21" x14ac:dyDescent="0.2">
      <c r="A903" t="s">
        <v>941</v>
      </c>
      <c r="B903" t="s">
        <v>45</v>
      </c>
      <c r="C903" t="s">
        <v>46</v>
      </c>
      <c r="D903" t="s">
        <v>31</v>
      </c>
      <c r="E903" t="s">
        <v>181</v>
      </c>
      <c r="F903" t="s">
        <v>35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27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3">
        <f t="shared" si="56"/>
        <v>183.88</v>
      </c>
      <c r="S903" t="str">
        <f t="shared" si="57"/>
        <v>September</v>
      </c>
      <c r="T903">
        <f t="shared" si="58"/>
        <v>9</v>
      </c>
      <c r="U903" t="str">
        <f t="shared" si="59"/>
        <v>Monday</v>
      </c>
    </row>
    <row r="904" spans="1:21" x14ac:dyDescent="0.2">
      <c r="A904" t="s">
        <v>942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  <c r="R904" s="3">
        <f t="shared" si="56"/>
        <v>138.65</v>
      </c>
      <c r="S904" t="str">
        <f t="shared" si="57"/>
        <v>March</v>
      </c>
      <c r="T904">
        <f t="shared" si="58"/>
        <v>3</v>
      </c>
      <c r="U904" t="str">
        <f t="shared" si="59"/>
        <v>Tuesday</v>
      </c>
    </row>
    <row r="905" spans="1:21" x14ac:dyDescent="0.2">
      <c r="A905" t="s">
        <v>943</v>
      </c>
      <c r="B905" t="s">
        <v>22</v>
      </c>
      <c r="C905" t="s">
        <v>23</v>
      </c>
      <c r="D905" t="s">
        <v>31</v>
      </c>
      <c r="E905" t="s">
        <v>181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33</v>
      </c>
      <c r="N905">
        <v>80.709999999999994</v>
      </c>
      <c r="O905">
        <v>4.7619047620000003</v>
      </c>
      <c r="P905">
        <v>4.0354999999999999</v>
      </c>
      <c r="Q905">
        <v>8.1</v>
      </c>
      <c r="R905" s="3">
        <f t="shared" si="56"/>
        <v>80.709999999999994</v>
      </c>
      <c r="S905" t="str">
        <f t="shared" si="57"/>
        <v>January</v>
      </c>
      <c r="T905">
        <f t="shared" si="58"/>
        <v>1</v>
      </c>
      <c r="U905" t="str">
        <f t="shared" si="59"/>
        <v>Monday</v>
      </c>
    </row>
    <row r="906" spans="1:21" x14ac:dyDescent="0.2">
      <c r="A906" t="s">
        <v>944</v>
      </c>
      <c r="B906" t="s">
        <v>29</v>
      </c>
      <c r="C906" t="s">
        <v>30</v>
      </c>
      <c r="D906" t="s">
        <v>31</v>
      </c>
      <c r="E906" t="s">
        <v>25</v>
      </c>
      <c r="F906" t="s">
        <v>26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27</v>
      </c>
      <c r="N906">
        <v>116.64</v>
      </c>
      <c r="O906">
        <v>4.7619047620000003</v>
      </c>
      <c r="P906">
        <v>5.8319999999999999</v>
      </c>
      <c r="Q906">
        <v>6</v>
      </c>
      <c r="R906" s="3">
        <f t="shared" si="56"/>
        <v>116.64</v>
      </c>
      <c r="S906" t="str">
        <f t="shared" si="57"/>
        <v>February</v>
      </c>
      <c r="T906">
        <f t="shared" si="58"/>
        <v>2</v>
      </c>
      <c r="U906" t="str">
        <f t="shared" si="59"/>
        <v>Thursday</v>
      </c>
    </row>
    <row r="907" spans="1:21" x14ac:dyDescent="0.2">
      <c r="A907" t="s">
        <v>945</v>
      </c>
      <c r="B907" t="s">
        <v>29</v>
      </c>
      <c r="C907" t="s">
        <v>30</v>
      </c>
      <c r="D907" t="s">
        <v>24</v>
      </c>
      <c r="E907" t="s">
        <v>25</v>
      </c>
      <c r="F907" t="s">
        <v>35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33</v>
      </c>
      <c r="N907">
        <v>313.52</v>
      </c>
      <c r="O907">
        <v>4.7619047620000003</v>
      </c>
      <c r="P907">
        <v>15.676</v>
      </c>
      <c r="Q907">
        <v>7.9</v>
      </c>
      <c r="R907" s="3">
        <f t="shared" si="56"/>
        <v>313.52</v>
      </c>
      <c r="S907" t="str">
        <f t="shared" si="57"/>
        <v>March</v>
      </c>
      <c r="T907">
        <f t="shared" si="58"/>
        <v>3</v>
      </c>
      <c r="U907" t="str">
        <f t="shared" si="59"/>
        <v>Sunday</v>
      </c>
    </row>
    <row r="908" spans="1:21" x14ac:dyDescent="0.2">
      <c r="A908" t="s">
        <v>946</v>
      </c>
      <c r="B908" t="s">
        <v>29</v>
      </c>
      <c r="C908" t="s">
        <v>30</v>
      </c>
      <c r="D908" t="s">
        <v>31</v>
      </c>
      <c r="E908" t="s">
        <v>181</v>
      </c>
      <c r="F908" t="s">
        <v>26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  <c r="R908" s="3">
        <f t="shared" si="56"/>
        <v>846.1</v>
      </c>
      <c r="S908" t="str">
        <f t="shared" si="57"/>
        <v>September</v>
      </c>
      <c r="T908">
        <f t="shared" si="58"/>
        <v>9</v>
      </c>
      <c r="U908" t="str">
        <f t="shared" si="59"/>
        <v>Monday</v>
      </c>
    </row>
    <row r="909" spans="1:21" x14ac:dyDescent="0.2">
      <c r="A909" t="s">
        <v>947</v>
      </c>
      <c r="B909" t="s">
        <v>45</v>
      </c>
      <c r="C909" t="s">
        <v>46</v>
      </c>
      <c r="D909" t="s">
        <v>31</v>
      </c>
      <c r="E909" t="s">
        <v>25</v>
      </c>
      <c r="F909" t="s">
        <v>26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  <c r="R909" s="3">
        <f t="shared" si="56"/>
        <v>414.4</v>
      </c>
      <c r="S909" t="str">
        <f t="shared" si="57"/>
        <v>March</v>
      </c>
      <c r="T909">
        <f t="shared" si="58"/>
        <v>3</v>
      </c>
      <c r="U909" t="str">
        <f t="shared" si="59"/>
        <v>Sunday</v>
      </c>
    </row>
    <row r="910" spans="1:21" x14ac:dyDescent="0.2">
      <c r="A910" t="s">
        <v>948</v>
      </c>
      <c r="B910" t="s">
        <v>22</v>
      </c>
      <c r="C910" t="s">
        <v>23</v>
      </c>
      <c r="D910" t="s">
        <v>24</v>
      </c>
      <c r="E910" t="s">
        <v>25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27</v>
      </c>
      <c r="N910">
        <v>159.08000000000001</v>
      </c>
      <c r="O910">
        <v>4.7619047620000003</v>
      </c>
      <c r="P910">
        <v>7.9539999999999997</v>
      </c>
      <c r="Q910">
        <v>6.2</v>
      </c>
      <c r="R910" s="3">
        <f t="shared" si="56"/>
        <v>159.08000000000001</v>
      </c>
      <c r="S910" t="str">
        <f t="shared" si="57"/>
        <v>March</v>
      </c>
      <c r="T910">
        <f t="shared" si="58"/>
        <v>3</v>
      </c>
      <c r="U910" t="str">
        <f t="shared" si="59"/>
        <v>Wednesday</v>
      </c>
    </row>
    <row r="911" spans="1:21" x14ac:dyDescent="0.2">
      <c r="A911" t="s">
        <v>949</v>
      </c>
      <c r="B911" t="s">
        <v>45</v>
      </c>
      <c r="C911" t="s">
        <v>46</v>
      </c>
      <c r="D911" t="s">
        <v>31</v>
      </c>
      <c r="E911" t="s">
        <v>25</v>
      </c>
      <c r="F911" t="s">
        <v>35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  <c r="R911" s="3">
        <f t="shared" si="56"/>
        <v>490.09999999999997</v>
      </c>
      <c r="S911" t="str">
        <f t="shared" si="57"/>
        <v>January</v>
      </c>
      <c r="T911">
        <f t="shared" si="58"/>
        <v>1</v>
      </c>
      <c r="U911" t="str">
        <f t="shared" si="59"/>
        <v>Sunday</v>
      </c>
    </row>
    <row r="912" spans="1:21" x14ac:dyDescent="0.2">
      <c r="A912" t="s">
        <v>950</v>
      </c>
      <c r="B912" t="s">
        <v>45</v>
      </c>
      <c r="C912" t="s">
        <v>46</v>
      </c>
      <c r="D912" t="s">
        <v>24</v>
      </c>
      <c r="E912" t="s">
        <v>25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  <c r="R912" s="3">
        <f t="shared" si="56"/>
        <v>87.449999999999989</v>
      </c>
      <c r="S912" t="str">
        <f t="shared" si="57"/>
        <v>March</v>
      </c>
      <c r="T912">
        <f t="shared" si="58"/>
        <v>3</v>
      </c>
      <c r="U912" t="str">
        <f t="shared" si="59"/>
        <v>Wednesday</v>
      </c>
    </row>
    <row r="913" spans="1:21" x14ac:dyDescent="0.2">
      <c r="A913" t="s">
        <v>951</v>
      </c>
      <c r="B913" t="s">
        <v>29</v>
      </c>
      <c r="C913" t="s">
        <v>30</v>
      </c>
      <c r="D913" t="s">
        <v>31</v>
      </c>
      <c r="E913" t="s">
        <v>25</v>
      </c>
      <c r="F913" t="s">
        <v>32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27</v>
      </c>
      <c r="N913">
        <v>224.52</v>
      </c>
      <c r="O913">
        <v>4.7619047620000003</v>
      </c>
      <c r="P913">
        <v>11.226000000000001</v>
      </c>
      <c r="Q913">
        <v>8.6</v>
      </c>
      <c r="R913" s="3">
        <f t="shared" si="56"/>
        <v>224.52</v>
      </c>
      <c r="S913" t="str">
        <f t="shared" si="57"/>
        <v>January</v>
      </c>
      <c r="T913">
        <f t="shared" si="58"/>
        <v>1</v>
      </c>
      <c r="U913" t="str">
        <f t="shared" si="59"/>
        <v>Saturday</v>
      </c>
    </row>
    <row r="914" spans="1:21" x14ac:dyDescent="0.2">
      <c r="A914" t="s">
        <v>952</v>
      </c>
      <c r="B914" t="s">
        <v>22</v>
      </c>
      <c r="C914" t="s">
        <v>23</v>
      </c>
      <c r="D914" t="s">
        <v>31</v>
      </c>
      <c r="E914" t="s">
        <v>25</v>
      </c>
      <c r="F914" t="s">
        <v>35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33</v>
      </c>
      <c r="N914">
        <v>744.96</v>
      </c>
      <c r="O914">
        <v>4.7619047620000003</v>
      </c>
      <c r="P914">
        <v>37.247999999999998</v>
      </c>
      <c r="Q914">
        <v>6.8</v>
      </c>
      <c r="R914" s="3">
        <f t="shared" si="56"/>
        <v>744.96</v>
      </c>
      <c r="S914" t="str">
        <f t="shared" si="57"/>
        <v>July</v>
      </c>
      <c r="T914">
        <f t="shared" si="58"/>
        <v>7</v>
      </c>
      <c r="U914" t="str">
        <f t="shared" si="59"/>
        <v>Tuesday</v>
      </c>
    </row>
    <row r="915" spans="1:21" x14ac:dyDescent="0.2">
      <c r="A915" t="s">
        <v>953</v>
      </c>
      <c r="B915" t="s">
        <v>22</v>
      </c>
      <c r="C915" t="s">
        <v>23</v>
      </c>
      <c r="D915" t="s">
        <v>24</v>
      </c>
      <c r="E915" t="s">
        <v>181</v>
      </c>
      <c r="F915" t="s">
        <v>49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27</v>
      </c>
      <c r="N915">
        <v>410.72</v>
      </c>
      <c r="O915">
        <v>4.7619047620000003</v>
      </c>
      <c r="P915">
        <v>20.536000000000001</v>
      </c>
      <c r="Q915">
        <v>7.6</v>
      </c>
      <c r="R915" s="3">
        <f t="shared" si="56"/>
        <v>410.72</v>
      </c>
      <c r="S915" t="str">
        <f t="shared" si="57"/>
        <v>January</v>
      </c>
      <c r="T915">
        <f t="shared" si="58"/>
        <v>1</v>
      </c>
      <c r="U915" t="str">
        <f t="shared" si="59"/>
        <v>Thursday</v>
      </c>
    </row>
    <row r="916" spans="1:21" x14ac:dyDescent="0.2">
      <c r="A916" t="s">
        <v>954</v>
      </c>
      <c r="B916" t="s">
        <v>22</v>
      </c>
      <c r="C916" t="s">
        <v>23</v>
      </c>
      <c r="D916" t="s">
        <v>24</v>
      </c>
      <c r="E916" t="s">
        <v>25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33</v>
      </c>
      <c r="N916">
        <v>298.8</v>
      </c>
      <c r="O916">
        <v>4.7619047620000003</v>
      </c>
      <c r="P916">
        <v>14.94</v>
      </c>
      <c r="Q916">
        <v>5.8</v>
      </c>
      <c r="R916" s="3">
        <f t="shared" si="56"/>
        <v>298.79999999999995</v>
      </c>
      <c r="S916" t="str">
        <f t="shared" si="57"/>
        <v>February</v>
      </c>
      <c r="T916">
        <f t="shared" si="58"/>
        <v>2</v>
      </c>
      <c r="U916" t="str">
        <f t="shared" si="59"/>
        <v>Monday</v>
      </c>
    </row>
    <row r="917" spans="1:21" x14ac:dyDescent="0.2">
      <c r="A917" t="s">
        <v>955</v>
      </c>
      <c r="B917" t="s">
        <v>29</v>
      </c>
      <c r="C917" t="s">
        <v>30</v>
      </c>
      <c r="D917" t="s">
        <v>31</v>
      </c>
      <c r="E917" t="s">
        <v>25</v>
      </c>
      <c r="F917" t="s">
        <v>32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33</v>
      </c>
      <c r="N917">
        <v>212.94</v>
      </c>
      <c r="O917">
        <v>4.7619047620000003</v>
      </c>
      <c r="P917">
        <v>10.647</v>
      </c>
      <c r="Q917">
        <v>4.0999999999999996</v>
      </c>
      <c r="R917" s="3">
        <f t="shared" si="56"/>
        <v>212.94</v>
      </c>
      <c r="S917" t="str">
        <f t="shared" si="57"/>
        <v>February</v>
      </c>
      <c r="T917">
        <f t="shared" si="58"/>
        <v>2</v>
      </c>
      <c r="U917" t="str">
        <f t="shared" si="59"/>
        <v>Saturday</v>
      </c>
    </row>
    <row r="918" spans="1:21" x14ac:dyDescent="0.2">
      <c r="A918" t="s">
        <v>956</v>
      </c>
      <c r="B918" t="s">
        <v>29</v>
      </c>
      <c r="C918" t="s">
        <v>30</v>
      </c>
      <c r="D918" t="s">
        <v>24</v>
      </c>
      <c r="E918" t="s">
        <v>181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3">
        <f t="shared" si="56"/>
        <v>42.85</v>
      </c>
      <c r="S918" t="str">
        <f t="shared" si="57"/>
        <v>March</v>
      </c>
      <c r="T918">
        <f t="shared" si="58"/>
        <v>3</v>
      </c>
      <c r="U918" t="str">
        <f t="shared" si="59"/>
        <v>Thursday</v>
      </c>
    </row>
    <row r="919" spans="1:21" x14ac:dyDescent="0.2">
      <c r="A919" t="s">
        <v>957</v>
      </c>
      <c r="B919" t="s">
        <v>22</v>
      </c>
      <c r="C919" t="s">
        <v>23</v>
      </c>
      <c r="D919" t="s">
        <v>31</v>
      </c>
      <c r="E919" t="s">
        <v>25</v>
      </c>
      <c r="F919" t="s">
        <v>49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33</v>
      </c>
      <c r="N919">
        <v>378.68</v>
      </c>
      <c r="O919">
        <v>4.7619047620000003</v>
      </c>
      <c r="P919">
        <v>18.934000000000001</v>
      </c>
      <c r="Q919">
        <v>6.8</v>
      </c>
      <c r="R919" s="3">
        <f t="shared" si="56"/>
        <v>378.68</v>
      </c>
      <c r="S919" t="str">
        <f t="shared" si="57"/>
        <v>November</v>
      </c>
      <c r="T919">
        <f t="shared" si="58"/>
        <v>11</v>
      </c>
      <c r="U919" t="str">
        <f t="shared" si="59"/>
        <v>Sunday</v>
      </c>
    </row>
    <row r="920" spans="1:21" x14ac:dyDescent="0.2">
      <c r="A920" t="s">
        <v>958</v>
      </c>
      <c r="B920" t="s">
        <v>45</v>
      </c>
      <c r="C920" t="s">
        <v>46</v>
      </c>
      <c r="D920" t="s">
        <v>31</v>
      </c>
      <c r="E920" t="s">
        <v>181</v>
      </c>
      <c r="F920" t="s">
        <v>35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27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3">
        <f t="shared" si="56"/>
        <v>206.91</v>
      </c>
      <c r="S920" t="str">
        <f t="shared" si="57"/>
        <v>February</v>
      </c>
      <c r="T920">
        <f t="shared" si="58"/>
        <v>2</v>
      </c>
      <c r="U920" t="str">
        <f t="shared" si="59"/>
        <v>Friday</v>
      </c>
    </row>
    <row r="921" spans="1:21" x14ac:dyDescent="0.2">
      <c r="A921" t="s">
        <v>959</v>
      </c>
      <c r="B921" t="s">
        <v>45</v>
      </c>
      <c r="C921" t="s">
        <v>46</v>
      </c>
      <c r="D921" t="s">
        <v>24</v>
      </c>
      <c r="E921" t="s">
        <v>25</v>
      </c>
      <c r="F921" t="s">
        <v>32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27</v>
      </c>
      <c r="N921">
        <v>78.78</v>
      </c>
      <c r="O921">
        <v>4.7619047620000003</v>
      </c>
      <c r="P921">
        <v>3.9390000000000001</v>
      </c>
      <c r="Q921">
        <v>6.3</v>
      </c>
      <c r="R921" s="3">
        <f t="shared" si="56"/>
        <v>78.78</v>
      </c>
      <c r="S921" t="str">
        <f t="shared" si="57"/>
        <v>February</v>
      </c>
      <c r="T921">
        <f t="shared" si="58"/>
        <v>2</v>
      </c>
      <c r="U921" t="str">
        <f t="shared" si="59"/>
        <v>Sunday</v>
      </c>
    </row>
    <row r="922" spans="1:21" x14ac:dyDescent="0.2">
      <c r="A922" t="s">
        <v>960</v>
      </c>
      <c r="B922" t="s">
        <v>29</v>
      </c>
      <c r="C922" t="s">
        <v>30</v>
      </c>
      <c r="D922" t="s">
        <v>24</v>
      </c>
      <c r="E922" t="s">
        <v>25</v>
      </c>
      <c r="F922" t="s">
        <v>35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3">
        <f t="shared" si="56"/>
        <v>322.11</v>
      </c>
      <c r="S922" t="str">
        <f t="shared" si="57"/>
        <v>October</v>
      </c>
      <c r="T922">
        <f t="shared" si="58"/>
        <v>10</v>
      </c>
      <c r="U922" t="str">
        <f t="shared" si="59"/>
        <v>Thursday</v>
      </c>
    </row>
    <row r="923" spans="1:21" x14ac:dyDescent="0.2">
      <c r="A923" t="s">
        <v>961</v>
      </c>
      <c r="B923" t="s">
        <v>45</v>
      </c>
      <c r="C923" t="s">
        <v>46</v>
      </c>
      <c r="D923" t="s">
        <v>31</v>
      </c>
      <c r="E923" t="s">
        <v>25</v>
      </c>
      <c r="F923" t="s">
        <v>35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33</v>
      </c>
      <c r="N923">
        <v>98.22</v>
      </c>
      <c r="O923">
        <v>4.7619047620000003</v>
      </c>
      <c r="P923">
        <v>4.9109999999999996</v>
      </c>
      <c r="Q923">
        <v>7</v>
      </c>
      <c r="R923" s="3">
        <f t="shared" si="56"/>
        <v>98.22</v>
      </c>
      <c r="S923" t="str">
        <f t="shared" si="57"/>
        <v>August</v>
      </c>
      <c r="T923">
        <f t="shared" si="58"/>
        <v>8</v>
      </c>
      <c r="U923" t="str">
        <f t="shared" si="59"/>
        <v>Friday</v>
      </c>
    </row>
    <row r="924" spans="1:21" x14ac:dyDescent="0.2">
      <c r="A924" t="s">
        <v>962</v>
      </c>
      <c r="B924" t="s">
        <v>29</v>
      </c>
      <c r="C924" t="s">
        <v>30</v>
      </c>
      <c r="D924" t="s">
        <v>24</v>
      </c>
      <c r="E924" t="s">
        <v>25</v>
      </c>
      <c r="F924" t="s">
        <v>35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  <c r="R924" s="3">
        <f t="shared" si="56"/>
        <v>25.46</v>
      </c>
      <c r="S924" t="str">
        <f t="shared" si="57"/>
        <v>February</v>
      </c>
      <c r="T924">
        <f t="shared" si="58"/>
        <v>2</v>
      </c>
      <c r="U924" t="str">
        <f t="shared" si="59"/>
        <v>Friday</v>
      </c>
    </row>
    <row r="925" spans="1:21" x14ac:dyDescent="0.2">
      <c r="A925" t="s">
        <v>963</v>
      </c>
      <c r="B925" t="s">
        <v>29</v>
      </c>
      <c r="C925" t="s">
        <v>30</v>
      </c>
      <c r="D925" t="s">
        <v>31</v>
      </c>
      <c r="E925" t="s">
        <v>25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  <c r="R925" s="3">
        <f t="shared" si="56"/>
        <v>581.98</v>
      </c>
      <c r="S925" t="str">
        <f t="shared" si="57"/>
        <v>October</v>
      </c>
      <c r="T925">
        <f t="shared" si="58"/>
        <v>10</v>
      </c>
      <c r="U925" t="str">
        <f t="shared" si="59"/>
        <v>Tuesday</v>
      </c>
    </row>
    <row r="926" spans="1:21" x14ac:dyDescent="0.2">
      <c r="A926" t="s">
        <v>964</v>
      </c>
      <c r="B926" t="s">
        <v>29</v>
      </c>
      <c r="C926" t="s">
        <v>30</v>
      </c>
      <c r="D926" t="s">
        <v>24</v>
      </c>
      <c r="E926" t="s">
        <v>25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27</v>
      </c>
      <c r="N926">
        <v>211.32</v>
      </c>
      <c r="O926">
        <v>4.7619047620000003</v>
      </c>
      <c r="P926">
        <v>10.566000000000001</v>
      </c>
      <c r="Q926">
        <v>6.5</v>
      </c>
      <c r="R926" s="3">
        <f t="shared" si="56"/>
        <v>211.32</v>
      </c>
      <c r="S926" t="str">
        <f t="shared" si="57"/>
        <v>March</v>
      </c>
      <c r="T926">
        <f t="shared" si="58"/>
        <v>3</v>
      </c>
      <c r="U926" t="str">
        <f t="shared" si="59"/>
        <v>Thursday</v>
      </c>
    </row>
    <row r="927" spans="1:21" x14ac:dyDescent="0.2">
      <c r="A927" t="s">
        <v>965</v>
      </c>
      <c r="B927" t="s">
        <v>45</v>
      </c>
      <c r="C927" t="s">
        <v>46</v>
      </c>
      <c r="D927" t="s">
        <v>31</v>
      </c>
      <c r="E927" t="s">
        <v>25</v>
      </c>
      <c r="F927" t="s">
        <v>32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27</v>
      </c>
      <c r="N927">
        <v>55.12</v>
      </c>
      <c r="O927">
        <v>4.7619047620000003</v>
      </c>
      <c r="P927">
        <v>2.7559999999999998</v>
      </c>
      <c r="Q927">
        <v>9</v>
      </c>
      <c r="R927" s="3">
        <f t="shared" si="56"/>
        <v>55.12</v>
      </c>
      <c r="S927" t="str">
        <f t="shared" si="57"/>
        <v>October</v>
      </c>
      <c r="T927">
        <f t="shared" si="58"/>
        <v>10</v>
      </c>
      <c r="U927" t="str">
        <f t="shared" si="59"/>
        <v>Tuesday</v>
      </c>
    </row>
    <row r="928" spans="1:21" x14ac:dyDescent="0.2">
      <c r="A928" t="s">
        <v>966</v>
      </c>
      <c r="B928" t="s">
        <v>45</v>
      </c>
      <c r="C928" t="s">
        <v>46</v>
      </c>
      <c r="D928" t="s">
        <v>24</v>
      </c>
      <c r="E928" t="s">
        <v>181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  <c r="R928" s="3">
        <f t="shared" si="56"/>
        <v>88.31</v>
      </c>
      <c r="S928" t="str">
        <f t="shared" si="57"/>
        <v>February</v>
      </c>
      <c r="T928">
        <f t="shared" si="58"/>
        <v>2</v>
      </c>
      <c r="U928" t="str">
        <f t="shared" si="59"/>
        <v>Friday</v>
      </c>
    </row>
    <row r="929" spans="1:21" x14ac:dyDescent="0.2">
      <c r="A929" t="s">
        <v>967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  <c r="R929" s="3">
        <f t="shared" si="56"/>
        <v>356.58</v>
      </c>
      <c r="S929" t="str">
        <f t="shared" si="57"/>
        <v>January</v>
      </c>
      <c r="T929">
        <f t="shared" si="58"/>
        <v>1</v>
      </c>
      <c r="U929" t="str">
        <f t="shared" si="59"/>
        <v>Sunday</v>
      </c>
    </row>
    <row r="930" spans="1:21" x14ac:dyDescent="0.2">
      <c r="A930" t="s">
        <v>968</v>
      </c>
      <c r="B930" t="s">
        <v>45</v>
      </c>
      <c r="C930" t="s">
        <v>46</v>
      </c>
      <c r="D930" t="s">
        <v>31</v>
      </c>
      <c r="E930" t="s">
        <v>25</v>
      </c>
      <c r="F930" t="s">
        <v>32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  <c r="R930" s="3">
        <f t="shared" si="56"/>
        <v>794.25</v>
      </c>
      <c r="S930" t="str">
        <f t="shared" si="57"/>
        <v>February</v>
      </c>
      <c r="T930">
        <f t="shared" si="58"/>
        <v>2</v>
      </c>
      <c r="U930" t="str">
        <f t="shared" si="59"/>
        <v>Friday</v>
      </c>
    </row>
    <row r="931" spans="1:21" x14ac:dyDescent="0.2">
      <c r="A931" t="s">
        <v>969</v>
      </c>
      <c r="B931" t="s">
        <v>45</v>
      </c>
      <c r="C931" t="s">
        <v>46</v>
      </c>
      <c r="D931" t="s">
        <v>31</v>
      </c>
      <c r="E931" t="s">
        <v>181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27</v>
      </c>
      <c r="N931">
        <v>50.62</v>
      </c>
      <c r="O931">
        <v>4.7619047620000003</v>
      </c>
      <c r="P931">
        <v>2.5310000000000001</v>
      </c>
      <c r="Q931">
        <v>7.2</v>
      </c>
      <c r="R931" s="3">
        <f t="shared" si="56"/>
        <v>50.62</v>
      </c>
      <c r="S931" t="str">
        <f t="shared" si="57"/>
        <v>February</v>
      </c>
      <c r="T931">
        <f t="shared" si="58"/>
        <v>2</v>
      </c>
      <c r="U931" t="str">
        <f t="shared" si="59"/>
        <v>Sunday</v>
      </c>
    </row>
    <row r="932" spans="1:21" x14ac:dyDescent="0.2">
      <c r="A932" t="s">
        <v>970</v>
      </c>
      <c r="B932" t="s">
        <v>45</v>
      </c>
      <c r="C932" t="s">
        <v>46</v>
      </c>
      <c r="D932" t="s">
        <v>31</v>
      </c>
      <c r="E932" t="s">
        <v>181</v>
      </c>
      <c r="F932" t="s">
        <v>35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27</v>
      </c>
      <c r="N932">
        <v>599.52</v>
      </c>
      <c r="O932">
        <v>4.7619047620000003</v>
      </c>
      <c r="P932">
        <v>29.975999999999999</v>
      </c>
      <c r="Q932">
        <v>7.1</v>
      </c>
      <c r="R932" s="3">
        <f t="shared" si="56"/>
        <v>599.52</v>
      </c>
      <c r="S932" t="str">
        <f t="shared" si="57"/>
        <v>March</v>
      </c>
      <c r="T932">
        <f t="shared" si="58"/>
        <v>3</v>
      </c>
      <c r="U932" t="str">
        <f t="shared" si="59"/>
        <v>Sunday</v>
      </c>
    </row>
    <row r="933" spans="1:21" x14ac:dyDescent="0.2">
      <c r="A933" t="s">
        <v>971</v>
      </c>
      <c r="B933" t="s">
        <v>29</v>
      </c>
      <c r="C933" t="s">
        <v>30</v>
      </c>
      <c r="D933" t="s">
        <v>24</v>
      </c>
      <c r="E933" t="s">
        <v>25</v>
      </c>
      <c r="F933" t="s">
        <v>49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  <c r="R933" s="3">
        <f t="shared" si="56"/>
        <v>166.7</v>
      </c>
      <c r="S933" t="str">
        <f t="shared" si="57"/>
        <v>February</v>
      </c>
      <c r="T933">
        <f t="shared" si="58"/>
        <v>2</v>
      </c>
      <c r="U933" t="str">
        <f t="shared" si="59"/>
        <v>Saturday</v>
      </c>
    </row>
    <row r="934" spans="1:21" x14ac:dyDescent="0.2">
      <c r="A934" t="s">
        <v>972</v>
      </c>
      <c r="B934" t="s">
        <v>22</v>
      </c>
      <c r="C934" t="s">
        <v>23</v>
      </c>
      <c r="D934" t="s">
        <v>31</v>
      </c>
      <c r="E934" t="s">
        <v>25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27</v>
      </c>
      <c r="N934">
        <v>744.4</v>
      </c>
      <c r="O934">
        <v>4.7619047620000003</v>
      </c>
      <c r="P934">
        <v>37.22</v>
      </c>
      <c r="Q934">
        <v>5.0999999999999996</v>
      </c>
      <c r="R934" s="3">
        <f t="shared" si="56"/>
        <v>744.4</v>
      </c>
      <c r="S934" t="str">
        <f t="shared" si="57"/>
        <v>February</v>
      </c>
      <c r="T934">
        <f t="shared" si="58"/>
        <v>2</v>
      </c>
      <c r="U934" t="str">
        <f t="shared" si="59"/>
        <v>Wednesday</v>
      </c>
    </row>
    <row r="935" spans="1:21" x14ac:dyDescent="0.2">
      <c r="A935" t="s">
        <v>973</v>
      </c>
      <c r="B935" t="s">
        <v>29</v>
      </c>
      <c r="C935" t="s">
        <v>30</v>
      </c>
      <c r="D935" t="s">
        <v>31</v>
      </c>
      <c r="E935" t="s">
        <v>181</v>
      </c>
      <c r="F935" t="s">
        <v>26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27</v>
      </c>
      <c r="N935">
        <v>448.56</v>
      </c>
      <c r="O935">
        <v>4.7619047620000003</v>
      </c>
      <c r="P935">
        <v>22.428000000000001</v>
      </c>
      <c r="Q935">
        <v>7.6</v>
      </c>
      <c r="R935" s="3">
        <f t="shared" si="56"/>
        <v>448.56</v>
      </c>
      <c r="S935" t="str">
        <f t="shared" si="57"/>
        <v>January</v>
      </c>
      <c r="T935">
        <f t="shared" si="58"/>
        <v>1</v>
      </c>
      <c r="U935" t="str">
        <f t="shared" si="59"/>
        <v>Sunday</v>
      </c>
    </row>
    <row r="936" spans="1:21" x14ac:dyDescent="0.2">
      <c r="A936" t="s">
        <v>974</v>
      </c>
      <c r="B936" t="s">
        <v>45</v>
      </c>
      <c r="C936" t="s">
        <v>46</v>
      </c>
      <c r="D936" t="s">
        <v>31</v>
      </c>
      <c r="E936" t="s">
        <v>25</v>
      </c>
      <c r="F936" t="s">
        <v>35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27</v>
      </c>
      <c r="N936">
        <v>378.9</v>
      </c>
      <c r="O936">
        <v>4.7619047620000003</v>
      </c>
      <c r="P936">
        <v>18.945</v>
      </c>
      <c r="Q936">
        <v>9.8000000000000007</v>
      </c>
      <c r="R936" s="3">
        <f t="shared" si="56"/>
        <v>378.9</v>
      </c>
      <c r="S936" t="str">
        <f t="shared" si="57"/>
        <v>March</v>
      </c>
      <c r="T936">
        <f t="shared" si="58"/>
        <v>3</v>
      </c>
      <c r="U936" t="str">
        <f t="shared" si="59"/>
        <v>Friday</v>
      </c>
    </row>
    <row r="937" spans="1:21" x14ac:dyDescent="0.2">
      <c r="A937" t="s">
        <v>975</v>
      </c>
      <c r="B937" t="s">
        <v>29</v>
      </c>
      <c r="C937" t="s">
        <v>30</v>
      </c>
      <c r="D937" t="s">
        <v>24</v>
      </c>
      <c r="E937" t="s">
        <v>181</v>
      </c>
      <c r="F937" t="s">
        <v>35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27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3">
        <f t="shared" si="56"/>
        <v>257.15999999999997</v>
      </c>
      <c r="S937" t="str">
        <f t="shared" si="57"/>
        <v>January</v>
      </c>
      <c r="T937">
        <f t="shared" si="58"/>
        <v>1</v>
      </c>
      <c r="U937" t="str">
        <f t="shared" si="59"/>
        <v>Thursday</v>
      </c>
    </row>
    <row r="938" spans="1:21" x14ac:dyDescent="0.2">
      <c r="A938" t="s">
        <v>976</v>
      </c>
      <c r="B938" t="s">
        <v>29</v>
      </c>
      <c r="C938" t="s">
        <v>30</v>
      </c>
      <c r="D938" t="s">
        <v>31</v>
      </c>
      <c r="E938" t="s">
        <v>25</v>
      </c>
      <c r="F938" t="s">
        <v>26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27</v>
      </c>
      <c r="N938">
        <v>552.23</v>
      </c>
      <c r="O938">
        <v>4.7619047620000003</v>
      </c>
      <c r="P938">
        <v>27.611499999999999</v>
      </c>
      <c r="Q938">
        <v>7.5</v>
      </c>
      <c r="R938" s="3">
        <f t="shared" si="56"/>
        <v>552.23</v>
      </c>
      <c r="S938" t="str">
        <f t="shared" si="57"/>
        <v>May</v>
      </c>
      <c r="T938">
        <f t="shared" si="58"/>
        <v>5</v>
      </c>
      <c r="U938" t="str">
        <f t="shared" si="59"/>
        <v>Wednesday</v>
      </c>
    </row>
    <row r="939" spans="1:21" x14ac:dyDescent="0.2">
      <c r="A939" t="s">
        <v>977</v>
      </c>
      <c r="B939" t="s">
        <v>22</v>
      </c>
      <c r="C939" t="s">
        <v>23</v>
      </c>
      <c r="D939" t="s">
        <v>31</v>
      </c>
      <c r="E939" t="s">
        <v>25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33</v>
      </c>
      <c r="N939">
        <v>447.4</v>
      </c>
      <c r="O939">
        <v>4.7619047620000003</v>
      </c>
      <c r="P939">
        <v>22.37</v>
      </c>
      <c r="Q939">
        <v>7.4</v>
      </c>
      <c r="R939" s="3">
        <f t="shared" si="56"/>
        <v>447.40000000000003</v>
      </c>
      <c r="S939" t="str">
        <f t="shared" si="57"/>
        <v>March</v>
      </c>
      <c r="T939">
        <f t="shared" si="58"/>
        <v>3</v>
      </c>
      <c r="U939" t="str">
        <f t="shared" si="59"/>
        <v>Saturday</v>
      </c>
    </row>
    <row r="940" spans="1:21" x14ac:dyDescent="0.2">
      <c r="A940" t="s">
        <v>978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33</v>
      </c>
      <c r="N940">
        <v>276.27</v>
      </c>
      <c r="O940">
        <v>4.7619047620000003</v>
      </c>
      <c r="P940">
        <v>13.813499999999999</v>
      </c>
      <c r="Q940">
        <v>4.2</v>
      </c>
      <c r="R940" s="3">
        <f t="shared" si="56"/>
        <v>276.27</v>
      </c>
      <c r="S940" t="str">
        <f t="shared" si="57"/>
        <v>February</v>
      </c>
      <c r="T940">
        <f t="shared" si="58"/>
        <v>2</v>
      </c>
      <c r="U940" t="str">
        <f t="shared" si="59"/>
        <v>Sunday</v>
      </c>
    </row>
    <row r="941" spans="1:21" x14ac:dyDescent="0.2">
      <c r="A941" t="s">
        <v>979</v>
      </c>
      <c r="B941" t="s">
        <v>29</v>
      </c>
      <c r="C941" t="s">
        <v>30</v>
      </c>
      <c r="D941" t="s">
        <v>31</v>
      </c>
      <c r="E941" t="s">
        <v>25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27</v>
      </c>
      <c r="N941">
        <v>343.74</v>
      </c>
      <c r="O941">
        <v>4.7619047620000003</v>
      </c>
      <c r="P941">
        <v>17.187000000000001</v>
      </c>
      <c r="Q941">
        <v>5.9</v>
      </c>
      <c r="R941" s="3">
        <f t="shared" si="56"/>
        <v>343.74</v>
      </c>
      <c r="S941" t="str">
        <f t="shared" si="57"/>
        <v>March</v>
      </c>
      <c r="T941">
        <f t="shared" si="58"/>
        <v>3</v>
      </c>
      <c r="U941" t="str">
        <f t="shared" si="59"/>
        <v>Thursday</v>
      </c>
    </row>
    <row r="942" spans="1:21" x14ac:dyDescent="0.2">
      <c r="A942" t="s">
        <v>980</v>
      </c>
      <c r="B942" t="s">
        <v>22</v>
      </c>
      <c r="C942" t="s">
        <v>23</v>
      </c>
      <c r="D942" t="s">
        <v>31</v>
      </c>
      <c r="E942" t="s">
        <v>181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27</v>
      </c>
      <c r="N942">
        <v>266.08</v>
      </c>
      <c r="O942">
        <v>4.7619047620000003</v>
      </c>
      <c r="P942">
        <v>13.304</v>
      </c>
      <c r="Q942">
        <v>6.9</v>
      </c>
      <c r="R942" s="3">
        <f t="shared" si="56"/>
        <v>266.08</v>
      </c>
      <c r="S942" t="str">
        <f t="shared" si="57"/>
        <v>February</v>
      </c>
      <c r="T942">
        <f t="shared" si="58"/>
        <v>2</v>
      </c>
      <c r="U942" t="str">
        <f t="shared" si="59"/>
        <v>Sunday</v>
      </c>
    </row>
    <row r="943" spans="1:21" x14ac:dyDescent="0.2">
      <c r="A943" t="s">
        <v>981</v>
      </c>
      <c r="B943" t="s">
        <v>29</v>
      </c>
      <c r="C943" t="s">
        <v>30</v>
      </c>
      <c r="D943" t="s">
        <v>24</v>
      </c>
      <c r="E943" t="s">
        <v>181</v>
      </c>
      <c r="F943" t="s">
        <v>49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33</v>
      </c>
      <c r="N943">
        <v>898.38</v>
      </c>
      <c r="O943">
        <v>4.7619047620000003</v>
      </c>
      <c r="P943">
        <v>44.918999999999997</v>
      </c>
      <c r="Q943">
        <v>6.6</v>
      </c>
      <c r="R943" s="3">
        <f t="shared" si="56"/>
        <v>898.37999999999988</v>
      </c>
      <c r="S943" t="str">
        <f t="shared" si="57"/>
        <v>March</v>
      </c>
      <c r="T943">
        <f t="shared" si="58"/>
        <v>3</v>
      </c>
      <c r="U943" t="str">
        <f t="shared" si="59"/>
        <v>Wednesday</v>
      </c>
    </row>
    <row r="944" spans="1:21" x14ac:dyDescent="0.2">
      <c r="A944" t="s">
        <v>982</v>
      </c>
      <c r="B944" t="s">
        <v>22</v>
      </c>
      <c r="C944" t="s">
        <v>23</v>
      </c>
      <c r="D944" t="s">
        <v>31</v>
      </c>
      <c r="E944" t="s">
        <v>25</v>
      </c>
      <c r="F944" t="s">
        <v>35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27</v>
      </c>
      <c r="N944">
        <v>456.8</v>
      </c>
      <c r="O944">
        <v>4.7619047620000003</v>
      </c>
      <c r="P944">
        <v>22.84</v>
      </c>
      <c r="Q944">
        <v>5.7</v>
      </c>
      <c r="R944" s="3">
        <f t="shared" si="56"/>
        <v>456.8</v>
      </c>
      <c r="S944" t="str">
        <f t="shared" si="57"/>
        <v>January</v>
      </c>
      <c r="T944">
        <f t="shared" si="58"/>
        <v>1</v>
      </c>
      <c r="U944" t="str">
        <f t="shared" si="59"/>
        <v>Saturday</v>
      </c>
    </row>
    <row r="945" spans="1:21" x14ac:dyDescent="0.2">
      <c r="A945" t="s">
        <v>983</v>
      </c>
      <c r="B945" t="s">
        <v>22</v>
      </c>
      <c r="C945" t="s">
        <v>23</v>
      </c>
      <c r="D945" t="s">
        <v>31</v>
      </c>
      <c r="E945" t="s">
        <v>181</v>
      </c>
      <c r="F945" t="s">
        <v>26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  <c r="R945" s="3">
        <f t="shared" si="56"/>
        <v>253.95</v>
      </c>
      <c r="S945" t="str">
        <f t="shared" si="57"/>
        <v>February</v>
      </c>
      <c r="T945">
        <f t="shared" si="58"/>
        <v>2</v>
      </c>
      <c r="U945" t="str">
        <f t="shared" si="59"/>
        <v>Tuesday</v>
      </c>
    </row>
    <row r="946" spans="1:21" x14ac:dyDescent="0.2">
      <c r="A946" t="s">
        <v>984</v>
      </c>
      <c r="B946" t="s">
        <v>22</v>
      </c>
      <c r="C946" t="s">
        <v>23</v>
      </c>
      <c r="D946" t="s">
        <v>24</v>
      </c>
      <c r="E946" t="s">
        <v>181</v>
      </c>
      <c r="F946" t="s">
        <v>26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33</v>
      </c>
      <c r="N946">
        <v>70.56</v>
      </c>
      <c r="O946">
        <v>4.7619047620000003</v>
      </c>
      <c r="P946">
        <v>3.528</v>
      </c>
      <c r="Q946">
        <v>4.2</v>
      </c>
      <c r="R946" s="3">
        <f t="shared" si="56"/>
        <v>70.56</v>
      </c>
      <c r="S946" t="str">
        <f t="shared" si="57"/>
        <v>March</v>
      </c>
      <c r="T946">
        <f t="shared" si="58"/>
        <v>3</v>
      </c>
      <c r="U946" t="str">
        <f t="shared" si="59"/>
        <v>Thursday</v>
      </c>
    </row>
    <row r="947" spans="1:21" x14ac:dyDescent="0.2">
      <c r="A947" t="s">
        <v>985</v>
      </c>
      <c r="B947" t="s">
        <v>22</v>
      </c>
      <c r="C947" t="s">
        <v>23</v>
      </c>
      <c r="D947" t="s">
        <v>31</v>
      </c>
      <c r="E947" t="s">
        <v>25</v>
      </c>
      <c r="F947" t="s">
        <v>32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  <c r="R947" s="3">
        <f t="shared" si="56"/>
        <v>657.16</v>
      </c>
      <c r="S947" t="str">
        <f t="shared" si="57"/>
        <v>May</v>
      </c>
      <c r="T947">
        <f t="shared" si="58"/>
        <v>5</v>
      </c>
      <c r="U947" t="str">
        <f t="shared" si="59"/>
        <v>Wednesday</v>
      </c>
    </row>
    <row r="948" spans="1:21" x14ac:dyDescent="0.2">
      <c r="A948" t="s">
        <v>986</v>
      </c>
      <c r="B948" t="s">
        <v>29</v>
      </c>
      <c r="C948" t="s">
        <v>30</v>
      </c>
      <c r="D948" t="s">
        <v>24</v>
      </c>
      <c r="E948" t="s">
        <v>181</v>
      </c>
      <c r="F948" t="s">
        <v>32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  <c r="R948" s="3">
        <f t="shared" si="56"/>
        <v>168.5</v>
      </c>
      <c r="S948" t="str">
        <f t="shared" si="57"/>
        <v>March</v>
      </c>
      <c r="T948">
        <f t="shared" si="58"/>
        <v>3</v>
      </c>
      <c r="U948" t="str">
        <f t="shared" si="59"/>
        <v>Tuesday</v>
      </c>
    </row>
    <row r="949" spans="1:21" x14ac:dyDescent="0.2">
      <c r="A949" t="s">
        <v>987</v>
      </c>
      <c r="B949" t="s">
        <v>45</v>
      </c>
      <c r="C949" t="s">
        <v>46</v>
      </c>
      <c r="D949" t="s">
        <v>24</v>
      </c>
      <c r="E949" t="s">
        <v>181</v>
      </c>
      <c r="F949" t="s">
        <v>49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27</v>
      </c>
      <c r="N949">
        <v>53.78</v>
      </c>
      <c r="O949">
        <v>4.7619047620000003</v>
      </c>
      <c r="P949">
        <v>2.6890000000000001</v>
      </c>
      <c r="Q949">
        <v>4.7</v>
      </c>
      <c r="R949" s="3">
        <f t="shared" si="56"/>
        <v>53.78</v>
      </c>
      <c r="S949" t="str">
        <f t="shared" si="57"/>
        <v>March</v>
      </c>
      <c r="T949">
        <f t="shared" si="58"/>
        <v>3</v>
      </c>
      <c r="U949" t="str">
        <f t="shared" si="59"/>
        <v>Saturday</v>
      </c>
    </row>
    <row r="950" spans="1:21" x14ac:dyDescent="0.2">
      <c r="A950" t="s">
        <v>988</v>
      </c>
      <c r="B950" t="s">
        <v>29</v>
      </c>
      <c r="C950" t="s">
        <v>30</v>
      </c>
      <c r="D950" t="s">
        <v>24</v>
      </c>
      <c r="E950" t="s">
        <v>181</v>
      </c>
      <c r="F950" t="s">
        <v>35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27</v>
      </c>
      <c r="N950">
        <v>179.05</v>
      </c>
      <c r="O950">
        <v>4.7619047620000003</v>
      </c>
      <c r="P950">
        <v>8.9525000000000006</v>
      </c>
      <c r="Q950">
        <v>7.9</v>
      </c>
      <c r="R950" s="3">
        <f t="shared" si="56"/>
        <v>179.05</v>
      </c>
      <c r="S950" t="str">
        <f t="shared" si="57"/>
        <v>June</v>
      </c>
      <c r="T950">
        <f t="shared" si="58"/>
        <v>6</v>
      </c>
      <c r="U950" t="str">
        <f t="shared" si="59"/>
        <v>Sunday</v>
      </c>
    </row>
    <row r="951" spans="1:21" x14ac:dyDescent="0.2">
      <c r="A951" t="s">
        <v>989</v>
      </c>
      <c r="B951" t="s">
        <v>45</v>
      </c>
      <c r="C951" t="s">
        <v>46</v>
      </c>
      <c r="D951" t="s">
        <v>31</v>
      </c>
      <c r="E951" t="s">
        <v>25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27</v>
      </c>
      <c r="N951">
        <v>211.44</v>
      </c>
      <c r="O951">
        <v>4.7619047620000003</v>
      </c>
      <c r="P951">
        <v>10.571999999999999</v>
      </c>
      <c r="Q951">
        <v>8.9</v>
      </c>
      <c r="R951" s="3">
        <f t="shared" si="56"/>
        <v>211.44</v>
      </c>
      <c r="S951" t="str">
        <f t="shared" si="57"/>
        <v>February</v>
      </c>
      <c r="T951">
        <f t="shared" si="58"/>
        <v>2</v>
      </c>
      <c r="U951" t="str">
        <f t="shared" si="59"/>
        <v>Sunday</v>
      </c>
    </row>
    <row r="952" spans="1:21" x14ac:dyDescent="0.2">
      <c r="A952" t="s">
        <v>990</v>
      </c>
      <c r="B952" t="s">
        <v>45</v>
      </c>
      <c r="C952" t="s">
        <v>46</v>
      </c>
      <c r="D952" t="s">
        <v>24</v>
      </c>
      <c r="E952" t="s">
        <v>181</v>
      </c>
      <c r="F952" t="s">
        <v>26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27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3">
        <f t="shared" si="56"/>
        <v>119.72999999999999</v>
      </c>
      <c r="S952" t="str">
        <f t="shared" si="57"/>
        <v>February</v>
      </c>
      <c r="T952">
        <f t="shared" si="58"/>
        <v>2</v>
      </c>
      <c r="U952" t="str">
        <f t="shared" si="59"/>
        <v>Thursday</v>
      </c>
    </row>
    <row r="953" spans="1:21" x14ac:dyDescent="0.2">
      <c r="A953" t="s">
        <v>991</v>
      </c>
      <c r="B953" t="s">
        <v>45</v>
      </c>
      <c r="C953" t="s">
        <v>46</v>
      </c>
      <c r="D953" t="s">
        <v>24</v>
      </c>
      <c r="E953" t="s">
        <v>25</v>
      </c>
      <c r="F953" t="s">
        <v>35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27</v>
      </c>
      <c r="N953">
        <v>65.7</v>
      </c>
      <c r="O953">
        <v>4.7619047620000003</v>
      </c>
      <c r="P953">
        <v>3.2850000000000001</v>
      </c>
      <c r="Q953">
        <v>4.7</v>
      </c>
      <c r="R953" s="3">
        <f t="shared" si="56"/>
        <v>65.699999999999989</v>
      </c>
      <c r="S953" t="str">
        <f t="shared" si="57"/>
        <v>September</v>
      </c>
      <c r="T953">
        <f t="shared" si="58"/>
        <v>9</v>
      </c>
      <c r="U953" t="str">
        <f t="shared" si="59"/>
        <v>Sunday</v>
      </c>
    </row>
    <row r="954" spans="1:21" x14ac:dyDescent="0.2">
      <c r="A954" t="s">
        <v>992</v>
      </c>
      <c r="B954" t="s">
        <v>45</v>
      </c>
      <c r="C954" t="s">
        <v>46</v>
      </c>
      <c r="D954" t="s">
        <v>24</v>
      </c>
      <c r="E954" t="s">
        <v>25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27</v>
      </c>
      <c r="N954">
        <v>251.4</v>
      </c>
      <c r="O954">
        <v>4.7619047620000003</v>
      </c>
      <c r="P954">
        <v>12.57</v>
      </c>
      <c r="Q954">
        <v>8.6999999999999993</v>
      </c>
      <c r="R954" s="3">
        <f t="shared" si="56"/>
        <v>251.4</v>
      </c>
      <c r="S954" t="str">
        <f t="shared" si="57"/>
        <v>February</v>
      </c>
      <c r="T954">
        <f t="shared" si="58"/>
        <v>2</v>
      </c>
      <c r="U954" t="str">
        <f t="shared" si="59"/>
        <v>Monday</v>
      </c>
    </row>
    <row r="955" spans="1:21" x14ac:dyDescent="0.2">
      <c r="A955" t="s">
        <v>993</v>
      </c>
      <c r="B955" t="s">
        <v>29</v>
      </c>
      <c r="C955" t="s">
        <v>30</v>
      </c>
      <c r="D955" t="s">
        <v>24</v>
      </c>
      <c r="E955" t="s">
        <v>25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33</v>
      </c>
      <c r="N955">
        <v>84.16</v>
      </c>
      <c r="O955">
        <v>4.7619047620000003</v>
      </c>
      <c r="P955">
        <v>4.2080000000000002</v>
      </c>
      <c r="Q955">
        <v>7.6</v>
      </c>
      <c r="R955" s="3">
        <f t="shared" si="56"/>
        <v>84.16</v>
      </c>
      <c r="S955" t="str">
        <f t="shared" si="57"/>
        <v>January</v>
      </c>
      <c r="T955">
        <f t="shared" si="58"/>
        <v>1</v>
      </c>
      <c r="U955" t="str">
        <f t="shared" si="59"/>
        <v>Sunday</v>
      </c>
    </row>
    <row r="956" spans="1:21" x14ac:dyDescent="0.2">
      <c r="A956" t="s">
        <v>994</v>
      </c>
      <c r="B956" t="s">
        <v>45</v>
      </c>
      <c r="C956" t="s">
        <v>46</v>
      </c>
      <c r="D956" t="s">
        <v>24</v>
      </c>
      <c r="E956" t="s">
        <v>181</v>
      </c>
      <c r="F956" t="s">
        <v>35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33</v>
      </c>
      <c r="N956">
        <v>395.46</v>
      </c>
      <c r="O956">
        <v>4.7619047620000003</v>
      </c>
      <c r="P956">
        <v>19.773</v>
      </c>
      <c r="Q956">
        <v>5.7</v>
      </c>
      <c r="R956" s="3">
        <f t="shared" si="56"/>
        <v>395.46</v>
      </c>
      <c r="S956" t="str">
        <f t="shared" si="57"/>
        <v>September</v>
      </c>
      <c r="T956">
        <f t="shared" si="58"/>
        <v>9</v>
      </c>
      <c r="U956" t="str">
        <f t="shared" si="59"/>
        <v>Monday</v>
      </c>
    </row>
    <row r="957" spans="1:21" x14ac:dyDescent="0.2">
      <c r="A957" t="s">
        <v>995</v>
      </c>
      <c r="B957" t="s">
        <v>22</v>
      </c>
      <c r="C957" t="s">
        <v>23</v>
      </c>
      <c r="D957" t="s">
        <v>31</v>
      </c>
      <c r="E957" t="s">
        <v>25</v>
      </c>
      <c r="F957" t="s">
        <v>49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33</v>
      </c>
      <c r="N957">
        <v>297.99</v>
      </c>
      <c r="O957">
        <v>4.7619047620000003</v>
      </c>
      <c r="P957">
        <v>14.8995</v>
      </c>
      <c r="Q957">
        <v>6.8</v>
      </c>
      <c r="R957" s="3">
        <f t="shared" si="56"/>
        <v>297.99</v>
      </c>
      <c r="S957" t="str">
        <f t="shared" si="57"/>
        <v>June</v>
      </c>
      <c r="T957">
        <f t="shared" si="58"/>
        <v>6</v>
      </c>
      <c r="U957" t="str">
        <f t="shared" si="59"/>
        <v>Saturday</v>
      </c>
    </row>
    <row r="958" spans="1:21" x14ac:dyDescent="0.2">
      <c r="A958" t="s">
        <v>996</v>
      </c>
      <c r="B958" t="s">
        <v>29</v>
      </c>
      <c r="C958" t="s">
        <v>30</v>
      </c>
      <c r="D958" t="s">
        <v>24</v>
      </c>
      <c r="E958" t="s">
        <v>181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33</v>
      </c>
      <c r="N958">
        <v>454.41</v>
      </c>
      <c r="O958">
        <v>4.7619047620000003</v>
      </c>
      <c r="P958">
        <v>22.720500000000001</v>
      </c>
      <c r="Q958">
        <v>5.4</v>
      </c>
      <c r="R958" s="3">
        <f t="shared" si="56"/>
        <v>454.41</v>
      </c>
      <c r="S958" t="str">
        <f t="shared" si="57"/>
        <v>October</v>
      </c>
      <c r="T958">
        <f t="shared" si="58"/>
        <v>10</v>
      </c>
      <c r="U958" t="str">
        <f t="shared" si="59"/>
        <v>Tuesday</v>
      </c>
    </row>
    <row r="959" spans="1:21" x14ac:dyDescent="0.2">
      <c r="A959" t="s">
        <v>997</v>
      </c>
      <c r="B959" t="s">
        <v>45</v>
      </c>
      <c r="C959" t="s">
        <v>46</v>
      </c>
      <c r="D959" t="s">
        <v>31</v>
      </c>
      <c r="E959" t="s">
        <v>181</v>
      </c>
      <c r="F959" t="s">
        <v>32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33</v>
      </c>
      <c r="N959">
        <v>276.12</v>
      </c>
      <c r="O959">
        <v>4.7619047620000003</v>
      </c>
      <c r="P959">
        <v>13.805999999999999</v>
      </c>
      <c r="Q959">
        <v>7.1</v>
      </c>
      <c r="R959" s="3">
        <f t="shared" si="56"/>
        <v>276.12</v>
      </c>
      <c r="S959" t="str">
        <f t="shared" si="57"/>
        <v>July</v>
      </c>
      <c r="T959">
        <f t="shared" si="58"/>
        <v>7</v>
      </c>
      <c r="U959" t="str">
        <f t="shared" si="59"/>
        <v>Tuesday</v>
      </c>
    </row>
    <row r="960" spans="1:21" x14ac:dyDescent="0.2">
      <c r="A960" t="s">
        <v>998</v>
      </c>
      <c r="B960" t="s">
        <v>29</v>
      </c>
      <c r="C960" t="s">
        <v>30</v>
      </c>
      <c r="D960" t="s">
        <v>31</v>
      </c>
      <c r="E960" t="s">
        <v>25</v>
      </c>
      <c r="F960" t="s">
        <v>35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33</v>
      </c>
      <c r="N960">
        <v>158</v>
      </c>
      <c r="O960">
        <v>4.7619047620000003</v>
      </c>
      <c r="P960">
        <v>7.9</v>
      </c>
      <c r="Q960">
        <v>7.8</v>
      </c>
      <c r="R960" s="3">
        <f t="shared" si="56"/>
        <v>158</v>
      </c>
      <c r="S960" t="str">
        <f t="shared" si="57"/>
        <v>September</v>
      </c>
      <c r="T960">
        <f t="shared" si="58"/>
        <v>9</v>
      </c>
      <c r="U960" t="str">
        <f t="shared" si="59"/>
        <v>Sunday</v>
      </c>
    </row>
    <row r="961" spans="1:21" x14ac:dyDescent="0.2">
      <c r="A961" t="s">
        <v>999</v>
      </c>
      <c r="B961" t="s">
        <v>22</v>
      </c>
      <c r="C961" t="s">
        <v>23</v>
      </c>
      <c r="D961" t="s">
        <v>24</v>
      </c>
      <c r="E961" t="s">
        <v>25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33</v>
      </c>
      <c r="N961">
        <v>887.94</v>
      </c>
      <c r="O961">
        <v>4.7619047620000003</v>
      </c>
      <c r="P961">
        <v>44.396999999999998</v>
      </c>
      <c r="Q961">
        <v>8.4</v>
      </c>
      <c r="R961" s="3">
        <f t="shared" si="56"/>
        <v>887.93999999999994</v>
      </c>
      <c r="S961" t="str">
        <f t="shared" si="57"/>
        <v>February</v>
      </c>
      <c r="T961">
        <f t="shared" si="58"/>
        <v>2</v>
      </c>
      <c r="U961" t="str">
        <f t="shared" si="59"/>
        <v>Tuesday</v>
      </c>
    </row>
    <row r="962" spans="1:21" x14ac:dyDescent="0.2">
      <c r="A962" t="s">
        <v>1000</v>
      </c>
      <c r="B962" t="s">
        <v>29</v>
      </c>
      <c r="C962" t="s">
        <v>30</v>
      </c>
      <c r="D962" t="s">
        <v>24</v>
      </c>
      <c r="E962" t="s">
        <v>181</v>
      </c>
      <c r="F962" t="s">
        <v>49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33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3">
        <f t="shared" si="56"/>
        <v>91.98</v>
      </c>
      <c r="S962" t="str">
        <f t="shared" si="57"/>
        <v>March</v>
      </c>
      <c r="T962">
        <f t="shared" si="58"/>
        <v>3</v>
      </c>
      <c r="U962" t="str">
        <f t="shared" si="59"/>
        <v>Monday</v>
      </c>
    </row>
    <row r="963" spans="1:21" x14ac:dyDescent="0.2">
      <c r="A963" t="s">
        <v>1001</v>
      </c>
      <c r="B963" t="s">
        <v>22</v>
      </c>
      <c r="C963" t="s">
        <v>23</v>
      </c>
      <c r="D963" t="s">
        <v>24</v>
      </c>
      <c r="E963" t="s">
        <v>181</v>
      </c>
      <c r="F963" t="s">
        <v>32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33</v>
      </c>
      <c r="N963">
        <v>41.78</v>
      </c>
      <c r="O963">
        <v>4.7619047620000003</v>
      </c>
      <c r="P963">
        <v>2.089</v>
      </c>
      <c r="Q963">
        <v>9.8000000000000007</v>
      </c>
      <c r="R963" s="3">
        <f t="shared" ref="R963:R1001" si="60">H963*G963</f>
        <v>41.78</v>
      </c>
      <c r="S963" t="str">
        <f t="shared" ref="S963:S1001" si="61">TEXT(K963,"mmmm")</f>
        <v>May</v>
      </c>
      <c r="T963">
        <f t="shared" ref="T963:T969" si="62">MONTH(K963)</f>
        <v>5</v>
      </c>
      <c r="U963" t="str">
        <f t="shared" ref="U963:U1001" si="63">TEXT(K963,"dddd")</f>
        <v>Thursday</v>
      </c>
    </row>
    <row r="964" spans="1:21" x14ac:dyDescent="0.2">
      <c r="A964" t="s">
        <v>1002</v>
      </c>
      <c r="B964" t="s">
        <v>22</v>
      </c>
      <c r="C964" t="s">
        <v>23</v>
      </c>
      <c r="D964" t="s">
        <v>31</v>
      </c>
      <c r="E964" t="s">
        <v>25</v>
      </c>
      <c r="F964" t="s">
        <v>49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  <c r="R964" s="3">
        <f t="shared" si="60"/>
        <v>15.5</v>
      </c>
      <c r="S964" t="str">
        <f t="shared" si="61"/>
        <v>March</v>
      </c>
      <c r="T964">
        <f t="shared" si="62"/>
        <v>3</v>
      </c>
      <c r="U964" t="str">
        <f t="shared" si="63"/>
        <v>Tuesday</v>
      </c>
    </row>
    <row r="965" spans="1:21" x14ac:dyDescent="0.2">
      <c r="A965" t="s">
        <v>1003</v>
      </c>
      <c r="B965" t="s">
        <v>29</v>
      </c>
      <c r="C965" t="s">
        <v>30</v>
      </c>
      <c r="D965" t="s">
        <v>24</v>
      </c>
      <c r="E965" t="s">
        <v>181</v>
      </c>
      <c r="F965" t="s">
        <v>32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33</v>
      </c>
      <c r="N965">
        <v>290.45999999999998</v>
      </c>
      <c r="O965">
        <v>4.7619047620000003</v>
      </c>
      <c r="P965">
        <v>14.523</v>
      </c>
      <c r="Q965">
        <v>6.7</v>
      </c>
      <c r="R965" s="3">
        <f t="shared" si="60"/>
        <v>290.45999999999998</v>
      </c>
      <c r="S965" t="str">
        <f t="shared" si="61"/>
        <v>March</v>
      </c>
      <c r="T965">
        <f t="shared" si="62"/>
        <v>3</v>
      </c>
      <c r="U965" t="str">
        <f t="shared" si="63"/>
        <v>Saturday</v>
      </c>
    </row>
    <row r="966" spans="1:21" x14ac:dyDescent="0.2">
      <c r="A966" t="s">
        <v>1004</v>
      </c>
      <c r="B966" t="s">
        <v>45</v>
      </c>
      <c r="C966" t="s">
        <v>46</v>
      </c>
      <c r="D966" t="s">
        <v>31</v>
      </c>
      <c r="E966" t="s">
        <v>181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  <c r="R966" s="3">
        <f t="shared" si="60"/>
        <v>66.66</v>
      </c>
      <c r="S966" t="str">
        <f t="shared" si="61"/>
        <v>January</v>
      </c>
      <c r="T966">
        <f t="shared" si="62"/>
        <v>1</v>
      </c>
      <c r="U966" t="str">
        <f t="shared" si="63"/>
        <v>Saturday</v>
      </c>
    </row>
    <row r="967" spans="1:21" x14ac:dyDescent="0.2">
      <c r="A967" t="s">
        <v>1005</v>
      </c>
      <c r="B967" t="s">
        <v>45</v>
      </c>
      <c r="C967" t="s">
        <v>46</v>
      </c>
      <c r="D967" t="s">
        <v>31</v>
      </c>
      <c r="E967" t="s">
        <v>25</v>
      </c>
      <c r="F967" t="s">
        <v>32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  <c r="R967" s="3">
        <f t="shared" si="60"/>
        <v>76.540000000000006</v>
      </c>
      <c r="S967" t="str">
        <f t="shared" si="61"/>
        <v>February</v>
      </c>
      <c r="T967">
        <f t="shared" si="62"/>
        <v>2</v>
      </c>
      <c r="U967" t="str">
        <f t="shared" si="63"/>
        <v>Sunday</v>
      </c>
    </row>
    <row r="968" spans="1:21" x14ac:dyDescent="0.2">
      <c r="A968" t="s">
        <v>1006</v>
      </c>
      <c r="B968" t="s">
        <v>22</v>
      </c>
      <c r="C968" t="s">
        <v>23</v>
      </c>
      <c r="D968" t="s">
        <v>31</v>
      </c>
      <c r="E968" t="s">
        <v>25</v>
      </c>
      <c r="F968" t="s">
        <v>35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27</v>
      </c>
      <c r="N968">
        <v>299.7</v>
      </c>
      <c r="O968">
        <v>4.7619047620000003</v>
      </c>
      <c r="P968">
        <v>14.984999999999999</v>
      </c>
      <c r="Q968">
        <v>7.2</v>
      </c>
      <c r="R968" s="3">
        <f t="shared" si="60"/>
        <v>299.7</v>
      </c>
      <c r="S968" t="str">
        <f t="shared" si="61"/>
        <v>April</v>
      </c>
      <c r="T968">
        <f t="shared" si="62"/>
        <v>4</v>
      </c>
      <c r="U968" t="str">
        <f t="shared" si="63"/>
        <v>Wednesday</v>
      </c>
    </row>
    <row r="969" spans="1:21" x14ac:dyDescent="0.2">
      <c r="A969" t="s">
        <v>1007</v>
      </c>
      <c r="B969" t="s">
        <v>22</v>
      </c>
      <c r="C969" t="s">
        <v>23</v>
      </c>
      <c r="D969" t="s">
        <v>24</v>
      </c>
      <c r="E969" t="s">
        <v>181</v>
      </c>
      <c r="F969" t="s">
        <v>35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  <c r="R969" s="3">
        <f t="shared" si="60"/>
        <v>243.03000000000003</v>
      </c>
      <c r="S969" t="str">
        <f t="shared" si="61"/>
        <v>January</v>
      </c>
      <c r="T969">
        <f t="shared" si="62"/>
        <v>1</v>
      </c>
      <c r="U969" t="str">
        <f t="shared" si="63"/>
        <v>Sunday</v>
      </c>
    </row>
    <row r="970" spans="1:21" x14ac:dyDescent="0.2">
      <c r="A970" t="s">
        <v>1008</v>
      </c>
      <c r="B970" t="s">
        <v>22</v>
      </c>
      <c r="C970" t="s">
        <v>23</v>
      </c>
      <c r="D970" t="s">
        <v>31</v>
      </c>
      <c r="E970" t="s">
        <v>25</v>
      </c>
      <c r="F970" t="s">
        <v>26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33</v>
      </c>
      <c r="N970">
        <v>47.4</v>
      </c>
      <c r="O970">
        <v>4.7619047620000003</v>
      </c>
      <c r="P970">
        <v>2.37</v>
      </c>
      <c r="Q970">
        <v>9.5</v>
      </c>
      <c r="R970" s="3">
        <f t="shared" si="60"/>
        <v>47.400000000000006</v>
      </c>
      <c r="S970" t="str">
        <f t="shared" si="61"/>
        <v>March</v>
      </c>
      <c r="T970">
        <f>MONTH(K970)</f>
        <v>3</v>
      </c>
      <c r="U970" t="str">
        <f t="shared" si="63"/>
        <v>Monday</v>
      </c>
    </row>
    <row r="971" spans="1:21" x14ac:dyDescent="0.2">
      <c r="A971" t="s">
        <v>1009</v>
      </c>
      <c r="B971" t="s">
        <v>45</v>
      </c>
      <c r="C971" t="s">
        <v>46</v>
      </c>
      <c r="D971" t="s">
        <v>24</v>
      </c>
      <c r="E971" t="s">
        <v>25</v>
      </c>
      <c r="F971" t="s">
        <v>32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  <c r="R971" s="3">
        <f t="shared" si="60"/>
        <v>172.45000000000002</v>
      </c>
      <c r="S971" t="str">
        <f t="shared" si="61"/>
        <v>November</v>
      </c>
      <c r="T971">
        <f t="shared" ref="T971:T1001" si="64">MONTH(K971)</f>
        <v>11</v>
      </c>
      <c r="U971" t="str">
        <f t="shared" si="63"/>
        <v>Sunday</v>
      </c>
    </row>
    <row r="972" spans="1:21" x14ac:dyDescent="0.2">
      <c r="A972" t="s">
        <v>1010</v>
      </c>
      <c r="B972" t="s">
        <v>45</v>
      </c>
      <c r="C972" t="s">
        <v>46</v>
      </c>
      <c r="D972" t="s">
        <v>24</v>
      </c>
      <c r="E972" t="s">
        <v>25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  <c r="R972" s="3">
        <f t="shared" si="60"/>
        <v>846.3</v>
      </c>
      <c r="S972" t="str">
        <f t="shared" si="61"/>
        <v>January</v>
      </c>
      <c r="T972">
        <f t="shared" si="64"/>
        <v>1</v>
      </c>
      <c r="U972" t="str">
        <f t="shared" si="63"/>
        <v>Tuesday</v>
      </c>
    </row>
    <row r="973" spans="1:21" x14ac:dyDescent="0.2">
      <c r="A973" t="s">
        <v>1011</v>
      </c>
      <c r="B973" t="s">
        <v>45</v>
      </c>
      <c r="C973" t="s">
        <v>46</v>
      </c>
      <c r="D973" t="s">
        <v>24</v>
      </c>
      <c r="E973" t="s">
        <v>181</v>
      </c>
      <c r="F973" t="s">
        <v>35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27</v>
      </c>
      <c r="N973">
        <v>258.37</v>
      </c>
      <c r="O973">
        <v>4.7619047620000003</v>
      </c>
      <c r="P973">
        <v>12.9185</v>
      </c>
      <c r="Q973">
        <v>6.7</v>
      </c>
      <c r="R973" s="3">
        <f t="shared" si="60"/>
        <v>258.37</v>
      </c>
      <c r="S973" t="str">
        <f t="shared" si="61"/>
        <v>October</v>
      </c>
      <c r="T973">
        <f t="shared" si="64"/>
        <v>10</v>
      </c>
      <c r="U973" t="str">
        <f t="shared" si="63"/>
        <v>Wednesday</v>
      </c>
    </row>
    <row r="974" spans="1:21" x14ac:dyDescent="0.2">
      <c r="A974" t="s">
        <v>1012</v>
      </c>
      <c r="B974" t="s">
        <v>45</v>
      </c>
      <c r="C974" t="s">
        <v>46</v>
      </c>
      <c r="D974" t="s">
        <v>31</v>
      </c>
      <c r="E974" t="s">
        <v>181</v>
      </c>
      <c r="F974" t="s">
        <v>32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33</v>
      </c>
      <c r="N974">
        <v>609.55999999999995</v>
      </c>
      <c r="O974">
        <v>4.7619047620000003</v>
      </c>
      <c r="P974">
        <v>30.478000000000002</v>
      </c>
      <c r="Q974">
        <v>5.5</v>
      </c>
      <c r="R974" s="3">
        <f t="shared" si="60"/>
        <v>609.55999999999995</v>
      </c>
      <c r="S974" t="str">
        <f t="shared" si="61"/>
        <v>January</v>
      </c>
      <c r="T974">
        <f t="shared" si="64"/>
        <v>1</v>
      </c>
      <c r="U974" t="str">
        <f t="shared" si="63"/>
        <v>Saturday</v>
      </c>
    </row>
    <row r="975" spans="1:21" x14ac:dyDescent="0.2">
      <c r="A975" t="s">
        <v>1013</v>
      </c>
      <c r="B975" t="s">
        <v>22</v>
      </c>
      <c r="C975" t="s">
        <v>23</v>
      </c>
      <c r="D975" t="s">
        <v>31</v>
      </c>
      <c r="E975" t="s">
        <v>181</v>
      </c>
      <c r="F975" t="s">
        <v>35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33</v>
      </c>
      <c r="N975">
        <v>240.24</v>
      </c>
      <c r="O975">
        <v>4.7619047620000003</v>
      </c>
      <c r="P975">
        <v>12.012</v>
      </c>
      <c r="Q975">
        <v>5.4</v>
      </c>
      <c r="R975" s="3">
        <f t="shared" si="60"/>
        <v>240.24</v>
      </c>
      <c r="S975" t="str">
        <f t="shared" si="61"/>
        <v>November</v>
      </c>
      <c r="T975">
        <f t="shared" si="64"/>
        <v>11</v>
      </c>
      <c r="U975" t="str">
        <f t="shared" si="63"/>
        <v>Saturday</v>
      </c>
    </row>
    <row r="976" spans="1:21" x14ac:dyDescent="0.2">
      <c r="A976" t="s">
        <v>1014</v>
      </c>
      <c r="B976" t="s">
        <v>29</v>
      </c>
      <c r="C976" t="s">
        <v>30</v>
      </c>
      <c r="D976" t="s">
        <v>31</v>
      </c>
      <c r="E976" t="s">
        <v>181</v>
      </c>
      <c r="F976" t="s">
        <v>49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33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3">
        <f t="shared" si="60"/>
        <v>172.26</v>
      </c>
      <c r="S976" t="str">
        <f t="shared" si="61"/>
        <v>July</v>
      </c>
      <c r="T976">
        <f t="shared" si="64"/>
        <v>7</v>
      </c>
      <c r="U976" t="str">
        <f t="shared" si="63"/>
        <v>Tuesday</v>
      </c>
    </row>
    <row r="977" spans="1:21" x14ac:dyDescent="0.2">
      <c r="A977" t="s">
        <v>1015</v>
      </c>
      <c r="B977" t="s">
        <v>45</v>
      </c>
      <c r="C977" t="s">
        <v>46</v>
      </c>
      <c r="D977" t="s">
        <v>24</v>
      </c>
      <c r="E977" t="s">
        <v>181</v>
      </c>
      <c r="F977" t="s">
        <v>49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  <c r="R977" s="3">
        <f t="shared" si="60"/>
        <v>99.84</v>
      </c>
      <c r="S977" t="str">
        <f t="shared" si="61"/>
        <v>June</v>
      </c>
      <c r="T977">
        <f t="shared" si="64"/>
        <v>6</v>
      </c>
      <c r="U977" t="str">
        <f t="shared" si="63"/>
        <v>Monday</v>
      </c>
    </row>
    <row r="978" spans="1:21" x14ac:dyDescent="0.2">
      <c r="A978" t="s">
        <v>1016</v>
      </c>
      <c r="B978" t="s">
        <v>22</v>
      </c>
      <c r="C978" t="s">
        <v>23</v>
      </c>
      <c r="D978" t="s">
        <v>31</v>
      </c>
      <c r="E978" t="s">
        <v>25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33</v>
      </c>
      <c r="N978">
        <v>298.64</v>
      </c>
      <c r="O978">
        <v>4.7619047620000003</v>
      </c>
      <c r="P978">
        <v>14.932</v>
      </c>
      <c r="Q978">
        <v>8.5</v>
      </c>
      <c r="R978" s="3">
        <f t="shared" si="60"/>
        <v>298.64</v>
      </c>
      <c r="S978" t="str">
        <f t="shared" si="61"/>
        <v>April</v>
      </c>
      <c r="T978">
        <f t="shared" si="64"/>
        <v>4</v>
      </c>
      <c r="U978" t="str">
        <f t="shared" si="63"/>
        <v>Wednesday</v>
      </c>
    </row>
    <row r="979" spans="1:21" x14ac:dyDescent="0.2">
      <c r="A979" t="s">
        <v>1017</v>
      </c>
      <c r="B979" t="s">
        <v>45</v>
      </c>
      <c r="C979" t="s">
        <v>46</v>
      </c>
      <c r="D979" t="s">
        <v>24</v>
      </c>
      <c r="E979" t="s">
        <v>181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27</v>
      </c>
      <c r="N979">
        <v>159.6</v>
      </c>
      <c r="O979">
        <v>4.7619047620000003</v>
      </c>
      <c r="P979">
        <v>7.98</v>
      </c>
      <c r="Q979">
        <v>4.9000000000000004</v>
      </c>
      <c r="R979" s="3">
        <f t="shared" si="60"/>
        <v>159.60000000000002</v>
      </c>
      <c r="S979" t="str">
        <f t="shared" si="61"/>
        <v>February</v>
      </c>
      <c r="T979">
        <f t="shared" si="64"/>
        <v>2</v>
      </c>
      <c r="U979" t="str">
        <f t="shared" si="63"/>
        <v>Tuesday</v>
      </c>
    </row>
    <row r="980" spans="1:21" x14ac:dyDescent="0.2">
      <c r="A980" t="s">
        <v>1018</v>
      </c>
      <c r="B980" t="s">
        <v>45</v>
      </c>
      <c r="C980" t="s">
        <v>46</v>
      </c>
      <c r="D980" t="s">
        <v>31</v>
      </c>
      <c r="E980" t="s">
        <v>25</v>
      </c>
      <c r="F980" t="s">
        <v>32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  <c r="R980" s="3">
        <f t="shared" si="60"/>
        <v>25.45</v>
      </c>
      <c r="S980" t="str">
        <f t="shared" si="61"/>
        <v>October</v>
      </c>
      <c r="T980">
        <f t="shared" si="64"/>
        <v>10</v>
      </c>
      <c r="U980" t="str">
        <f t="shared" si="63"/>
        <v>Thursday</v>
      </c>
    </row>
    <row r="981" spans="1:21" x14ac:dyDescent="0.2">
      <c r="A981" t="s">
        <v>1019</v>
      </c>
      <c r="B981" t="s">
        <v>45</v>
      </c>
      <c r="C981" t="s">
        <v>46</v>
      </c>
      <c r="D981" t="s">
        <v>31</v>
      </c>
      <c r="E981" t="s">
        <v>25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  <c r="R981" s="3">
        <f t="shared" si="60"/>
        <v>67.77</v>
      </c>
      <c r="S981" t="str">
        <f t="shared" si="61"/>
        <v>April</v>
      </c>
      <c r="T981">
        <f t="shared" si="64"/>
        <v>4</v>
      </c>
      <c r="U981" t="str">
        <f t="shared" si="63"/>
        <v>Tuesday</v>
      </c>
    </row>
    <row r="982" spans="1:21" x14ac:dyDescent="0.2">
      <c r="A982" t="s">
        <v>1020</v>
      </c>
      <c r="B982" t="s">
        <v>29</v>
      </c>
      <c r="C982" t="s">
        <v>30</v>
      </c>
      <c r="D982" t="s">
        <v>24</v>
      </c>
      <c r="E982" t="s">
        <v>181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33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3">
        <f t="shared" si="60"/>
        <v>238.36</v>
      </c>
      <c r="S982" t="str">
        <f t="shared" si="61"/>
        <v>January</v>
      </c>
      <c r="T982">
        <f t="shared" si="64"/>
        <v>1</v>
      </c>
      <c r="U982" t="str">
        <f t="shared" si="63"/>
        <v>Saturday</v>
      </c>
    </row>
    <row r="983" spans="1:21" x14ac:dyDescent="0.2">
      <c r="A983" t="s">
        <v>1021</v>
      </c>
      <c r="B983" t="s">
        <v>22</v>
      </c>
      <c r="C983" t="s">
        <v>23</v>
      </c>
      <c r="D983" t="s">
        <v>31</v>
      </c>
      <c r="E983" t="s">
        <v>181</v>
      </c>
      <c r="F983" t="s">
        <v>26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33</v>
      </c>
      <c r="N983">
        <v>232.6</v>
      </c>
      <c r="O983">
        <v>4.7619047620000003</v>
      </c>
      <c r="P983">
        <v>11.63</v>
      </c>
      <c r="Q983">
        <v>8.4</v>
      </c>
      <c r="R983" s="3">
        <f t="shared" si="60"/>
        <v>232.6</v>
      </c>
      <c r="S983" t="str">
        <f t="shared" si="61"/>
        <v>January</v>
      </c>
      <c r="T983">
        <f t="shared" si="64"/>
        <v>1</v>
      </c>
      <c r="U983" t="str">
        <f t="shared" si="63"/>
        <v>Wednesday</v>
      </c>
    </row>
    <row r="984" spans="1:21" x14ac:dyDescent="0.2">
      <c r="A984" t="s">
        <v>1022</v>
      </c>
      <c r="B984" t="s">
        <v>22</v>
      </c>
      <c r="C984" t="s">
        <v>23</v>
      </c>
      <c r="D984" t="s">
        <v>24</v>
      </c>
      <c r="E984" t="s">
        <v>25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27</v>
      </c>
      <c r="N984">
        <v>877.32</v>
      </c>
      <c r="O984">
        <v>4.7619047620000003</v>
      </c>
      <c r="P984">
        <v>43.866</v>
      </c>
      <c r="Q984">
        <v>7.4</v>
      </c>
      <c r="R984" s="3">
        <f t="shared" si="60"/>
        <v>877.32</v>
      </c>
      <c r="S984" t="str">
        <f t="shared" si="61"/>
        <v>March</v>
      </c>
      <c r="T984">
        <f t="shared" si="64"/>
        <v>3</v>
      </c>
      <c r="U984" t="str">
        <f t="shared" si="63"/>
        <v>Thursday</v>
      </c>
    </row>
    <row r="985" spans="1:21" x14ac:dyDescent="0.2">
      <c r="A985" t="s">
        <v>1023</v>
      </c>
      <c r="B985" t="s">
        <v>29</v>
      </c>
      <c r="C985" t="s">
        <v>30</v>
      </c>
      <c r="D985" t="s">
        <v>31</v>
      </c>
      <c r="E985" t="s">
        <v>181</v>
      </c>
      <c r="F985" t="s">
        <v>26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33</v>
      </c>
      <c r="N985">
        <v>699.72</v>
      </c>
      <c r="O985">
        <v>4.7619047620000003</v>
      </c>
      <c r="P985">
        <v>34.985999999999997</v>
      </c>
      <c r="Q985">
        <v>6.1</v>
      </c>
      <c r="R985" s="3">
        <f t="shared" si="60"/>
        <v>699.71999999999991</v>
      </c>
      <c r="S985" t="str">
        <f t="shared" si="61"/>
        <v>January</v>
      </c>
      <c r="T985">
        <f t="shared" si="64"/>
        <v>1</v>
      </c>
      <c r="U985" t="str">
        <f t="shared" si="63"/>
        <v>Wednesday</v>
      </c>
    </row>
    <row r="986" spans="1:21" x14ac:dyDescent="0.2">
      <c r="A986" t="s">
        <v>1024</v>
      </c>
      <c r="B986" t="s">
        <v>29</v>
      </c>
      <c r="C986" t="s">
        <v>30</v>
      </c>
      <c r="D986" t="s">
        <v>31</v>
      </c>
      <c r="E986" t="s">
        <v>181</v>
      </c>
      <c r="F986" t="s">
        <v>32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33</v>
      </c>
      <c r="N986">
        <v>674.59</v>
      </c>
      <c r="O986">
        <v>4.7619047620000003</v>
      </c>
      <c r="P986">
        <v>33.729500000000002</v>
      </c>
      <c r="Q986">
        <v>6</v>
      </c>
      <c r="R986" s="3">
        <f t="shared" si="60"/>
        <v>674.59</v>
      </c>
      <c r="S986" t="str">
        <f t="shared" si="61"/>
        <v>September</v>
      </c>
      <c r="T986">
        <f t="shared" si="64"/>
        <v>9</v>
      </c>
      <c r="U986" t="str">
        <f t="shared" si="63"/>
        <v>Sunday</v>
      </c>
    </row>
    <row r="987" spans="1:21" x14ac:dyDescent="0.2">
      <c r="A987" t="s">
        <v>1025</v>
      </c>
      <c r="B987" t="s">
        <v>45</v>
      </c>
      <c r="C987" t="s">
        <v>46</v>
      </c>
      <c r="D987" t="s">
        <v>31</v>
      </c>
      <c r="E987" t="s">
        <v>25</v>
      </c>
      <c r="F987" t="s">
        <v>49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27</v>
      </c>
      <c r="N987">
        <v>318.55</v>
      </c>
      <c r="O987">
        <v>4.7619047620000003</v>
      </c>
      <c r="P987">
        <v>15.9275</v>
      </c>
      <c r="Q987">
        <v>8.5</v>
      </c>
      <c r="R987" s="3">
        <f t="shared" si="60"/>
        <v>318.55</v>
      </c>
      <c r="S987" t="str">
        <f t="shared" si="61"/>
        <v>July</v>
      </c>
      <c r="T987">
        <f t="shared" si="64"/>
        <v>7</v>
      </c>
      <c r="U987" t="str">
        <f t="shared" si="63"/>
        <v>Tuesday</v>
      </c>
    </row>
    <row r="988" spans="1:21" x14ac:dyDescent="0.2">
      <c r="A988" t="s">
        <v>1026</v>
      </c>
      <c r="B988" t="s">
        <v>45</v>
      </c>
      <c r="C988" t="s">
        <v>46</v>
      </c>
      <c r="D988" t="s">
        <v>31</v>
      </c>
      <c r="E988" t="s">
        <v>25</v>
      </c>
      <c r="F988" t="s">
        <v>26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27</v>
      </c>
      <c r="N988">
        <v>29.52</v>
      </c>
      <c r="O988">
        <v>4.7619047620000003</v>
      </c>
      <c r="P988">
        <v>1.476</v>
      </c>
      <c r="Q988">
        <v>4.3</v>
      </c>
      <c r="R988" s="3">
        <f t="shared" si="60"/>
        <v>29.52</v>
      </c>
      <c r="S988" t="str">
        <f t="shared" si="61"/>
        <v>February</v>
      </c>
      <c r="T988">
        <f t="shared" si="64"/>
        <v>2</v>
      </c>
      <c r="U988" t="str">
        <f t="shared" si="63"/>
        <v>Monday</v>
      </c>
    </row>
    <row r="989" spans="1:21" x14ac:dyDescent="0.2">
      <c r="A989" t="s">
        <v>1027</v>
      </c>
      <c r="B989" t="s">
        <v>45</v>
      </c>
      <c r="C989" t="s">
        <v>46</v>
      </c>
      <c r="D989" t="s">
        <v>24</v>
      </c>
      <c r="E989" t="s">
        <v>181</v>
      </c>
      <c r="F989" t="s">
        <v>26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  <c r="R989" s="3">
        <f t="shared" si="60"/>
        <v>496</v>
      </c>
      <c r="S989" t="str">
        <f t="shared" si="61"/>
        <v>March</v>
      </c>
      <c r="T989">
        <f t="shared" si="64"/>
        <v>3</v>
      </c>
      <c r="U989" t="str">
        <f t="shared" si="63"/>
        <v>Friday</v>
      </c>
    </row>
    <row r="990" spans="1:21" x14ac:dyDescent="0.2">
      <c r="A990" t="s">
        <v>1028</v>
      </c>
      <c r="B990" t="s">
        <v>29</v>
      </c>
      <c r="C990" t="s">
        <v>30</v>
      </c>
      <c r="D990" t="s">
        <v>24</v>
      </c>
      <c r="E990" t="s">
        <v>181</v>
      </c>
      <c r="F990" t="s">
        <v>32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27</v>
      </c>
      <c r="N990">
        <v>823.4</v>
      </c>
      <c r="O990">
        <v>4.7619047620000003</v>
      </c>
      <c r="P990">
        <v>41.17</v>
      </c>
      <c r="Q990">
        <v>4.3</v>
      </c>
      <c r="R990" s="3">
        <f t="shared" si="60"/>
        <v>823.40000000000009</v>
      </c>
      <c r="S990" t="str">
        <f t="shared" si="61"/>
        <v>March</v>
      </c>
      <c r="T990">
        <f t="shared" si="64"/>
        <v>3</v>
      </c>
      <c r="U990" t="str">
        <f t="shared" si="63"/>
        <v>Friday</v>
      </c>
    </row>
    <row r="991" spans="1:21" x14ac:dyDescent="0.2">
      <c r="A991" t="s">
        <v>1029</v>
      </c>
      <c r="B991" t="s">
        <v>45</v>
      </c>
      <c r="C991" t="s">
        <v>46</v>
      </c>
      <c r="D991" t="s">
        <v>24</v>
      </c>
      <c r="E991" t="s">
        <v>181</v>
      </c>
      <c r="F991" t="s">
        <v>26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  <c r="R991" s="3">
        <f t="shared" si="60"/>
        <v>602.96</v>
      </c>
      <c r="S991" t="str">
        <f t="shared" si="61"/>
        <v>January</v>
      </c>
      <c r="T991">
        <f t="shared" si="64"/>
        <v>1</v>
      </c>
      <c r="U991" t="str">
        <f t="shared" si="63"/>
        <v>Monday</v>
      </c>
    </row>
    <row r="992" spans="1:21" x14ac:dyDescent="0.2">
      <c r="A992" t="s">
        <v>1030</v>
      </c>
      <c r="B992" t="s">
        <v>22</v>
      </c>
      <c r="C992" t="s">
        <v>23</v>
      </c>
      <c r="D992" t="s">
        <v>31</v>
      </c>
      <c r="E992" t="s">
        <v>25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  <c r="R992" s="3">
        <f t="shared" si="60"/>
        <v>282.8</v>
      </c>
      <c r="S992" t="str">
        <f t="shared" si="61"/>
        <v>March</v>
      </c>
      <c r="T992">
        <f t="shared" si="64"/>
        <v>3</v>
      </c>
      <c r="U992" t="str">
        <f t="shared" si="63"/>
        <v>Friday</v>
      </c>
    </row>
    <row r="993" spans="1:21" x14ac:dyDescent="0.2">
      <c r="A993" t="s">
        <v>1031</v>
      </c>
      <c r="B993" t="s">
        <v>45</v>
      </c>
      <c r="C993" t="s">
        <v>46</v>
      </c>
      <c r="D993" t="s">
        <v>31</v>
      </c>
      <c r="E993" t="s">
        <v>25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27</v>
      </c>
      <c r="N993">
        <v>766</v>
      </c>
      <c r="O993">
        <v>4.7619047620000003</v>
      </c>
      <c r="P993">
        <v>38.299999999999997</v>
      </c>
      <c r="Q993">
        <v>6</v>
      </c>
      <c r="R993" s="3">
        <f t="shared" si="60"/>
        <v>766</v>
      </c>
      <c r="S993" t="str">
        <f t="shared" si="61"/>
        <v>January</v>
      </c>
      <c r="T993">
        <f t="shared" si="64"/>
        <v>1</v>
      </c>
      <c r="U993" t="str">
        <f t="shared" si="63"/>
        <v>Thursday</v>
      </c>
    </row>
    <row r="994" spans="1:21" x14ac:dyDescent="0.2">
      <c r="A994" t="s">
        <v>1032</v>
      </c>
      <c r="B994" t="s">
        <v>22</v>
      </c>
      <c r="C994" t="s">
        <v>23</v>
      </c>
      <c r="D994" t="s">
        <v>31</v>
      </c>
      <c r="E994" t="s">
        <v>181</v>
      </c>
      <c r="F994" t="s">
        <v>32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27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3">
        <f t="shared" si="60"/>
        <v>116.06</v>
      </c>
      <c r="S994" t="str">
        <f t="shared" si="61"/>
        <v>October</v>
      </c>
      <c r="T994">
        <f t="shared" si="64"/>
        <v>10</v>
      </c>
      <c r="U994" t="str">
        <f t="shared" si="63"/>
        <v>Thursday</v>
      </c>
    </row>
    <row r="995" spans="1:21" x14ac:dyDescent="0.2">
      <c r="A995" t="s">
        <v>1033</v>
      </c>
      <c r="B995" t="s">
        <v>45</v>
      </c>
      <c r="C995" t="s">
        <v>46</v>
      </c>
      <c r="D995" t="s">
        <v>31</v>
      </c>
      <c r="E995" t="s">
        <v>181</v>
      </c>
      <c r="F995" t="s">
        <v>49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27</v>
      </c>
      <c r="N995">
        <v>174.9</v>
      </c>
      <c r="O995">
        <v>4.7619047620000003</v>
      </c>
      <c r="P995">
        <v>8.7449999999999992</v>
      </c>
      <c r="Q995">
        <v>6.6</v>
      </c>
      <c r="R995" s="3">
        <f t="shared" si="60"/>
        <v>174.89999999999998</v>
      </c>
      <c r="S995" t="str">
        <f t="shared" si="61"/>
        <v>February</v>
      </c>
      <c r="T995">
        <f t="shared" si="64"/>
        <v>2</v>
      </c>
      <c r="U995" t="str">
        <f t="shared" si="63"/>
        <v>Friday</v>
      </c>
    </row>
    <row r="996" spans="1:21" x14ac:dyDescent="0.2">
      <c r="A996" t="s">
        <v>1034</v>
      </c>
      <c r="B996" t="s">
        <v>29</v>
      </c>
      <c r="C996" t="s">
        <v>30</v>
      </c>
      <c r="D996" t="s">
        <v>24</v>
      </c>
      <c r="E996" t="s">
        <v>25</v>
      </c>
      <c r="F996" t="s">
        <v>32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27</v>
      </c>
      <c r="N996">
        <v>60.95</v>
      </c>
      <c r="O996">
        <v>4.7619047620000003</v>
      </c>
      <c r="P996">
        <v>3.0474999999999999</v>
      </c>
      <c r="Q996">
        <v>5.9</v>
      </c>
      <c r="R996" s="3">
        <f t="shared" si="60"/>
        <v>60.95</v>
      </c>
      <c r="S996" t="str">
        <f t="shared" si="61"/>
        <v>February</v>
      </c>
      <c r="T996">
        <f t="shared" si="64"/>
        <v>2</v>
      </c>
      <c r="U996" t="str">
        <f t="shared" si="63"/>
        <v>Monday</v>
      </c>
    </row>
    <row r="997" spans="1:21" x14ac:dyDescent="0.2">
      <c r="A997" t="s">
        <v>1035</v>
      </c>
      <c r="B997" t="s">
        <v>29</v>
      </c>
      <c r="C997" t="s">
        <v>30</v>
      </c>
      <c r="D997" t="s">
        <v>31</v>
      </c>
      <c r="E997" t="s">
        <v>181</v>
      </c>
      <c r="F997" t="s">
        <v>26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27</v>
      </c>
      <c r="N997">
        <v>40.35</v>
      </c>
      <c r="O997">
        <v>4.7619047620000003</v>
      </c>
      <c r="P997">
        <v>2.0175000000000001</v>
      </c>
      <c r="Q997">
        <v>6.2</v>
      </c>
      <c r="R997" s="3">
        <f t="shared" si="60"/>
        <v>40.35</v>
      </c>
      <c r="S997" t="str">
        <f t="shared" si="61"/>
        <v>January</v>
      </c>
      <c r="T997">
        <f t="shared" si="64"/>
        <v>1</v>
      </c>
      <c r="U997" t="str">
        <f t="shared" si="63"/>
        <v>Tuesday</v>
      </c>
    </row>
    <row r="998" spans="1:21" x14ac:dyDescent="0.2">
      <c r="A998" t="s">
        <v>1036</v>
      </c>
      <c r="B998" t="s">
        <v>45</v>
      </c>
      <c r="C998" t="s">
        <v>46</v>
      </c>
      <c r="D998" t="s">
        <v>31</v>
      </c>
      <c r="E998" t="s">
        <v>25</v>
      </c>
      <c r="F998" t="s">
        <v>35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27</v>
      </c>
      <c r="N998">
        <v>973.8</v>
      </c>
      <c r="O998">
        <v>4.7619047620000003</v>
      </c>
      <c r="P998">
        <v>48.69</v>
      </c>
      <c r="Q998">
        <v>4.4000000000000004</v>
      </c>
      <c r="R998" s="3">
        <f t="shared" si="60"/>
        <v>973.8</v>
      </c>
      <c r="S998" t="str">
        <f t="shared" si="61"/>
        <v>February</v>
      </c>
      <c r="T998">
        <f t="shared" si="64"/>
        <v>2</v>
      </c>
      <c r="U998" t="str">
        <f t="shared" si="63"/>
        <v>Sunday</v>
      </c>
    </row>
    <row r="999" spans="1:21" x14ac:dyDescent="0.2">
      <c r="A999" t="s">
        <v>1037</v>
      </c>
      <c r="B999" t="s">
        <v>22</v>
      </c>
      <c r="C999" t="s">
        <v>23</v>
      </c>
      <c r="D999" t="s">
        <v>24</v>
      </c>
      <c r="E999" t="s">
        <v>181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33</v>
      </c>
      <c r="N999">
        <v>31.84</v>
      </c>
      <c r="O999">
        <v>4.7619047620000003</v>
      </c>
      <c r="P999">
        <v>1.5920000000000001</v>
      </c>
      <c r="Q999">
        <v>7.7</v>
      </c>
      <c r="R999" s="3">
        <f t="shared" si="60"/>
        <v>31.84</v>
      </c>
      <c r="S999" t="str">
        <f t="shared" si="61"/>
        <v>September</v>
      </c>
      <c r="T999">
        <f t="shared" si="64"/>
        <v>9</v>
      </c>
      <c r="U999" t="str">
        <f t="shared" si="63"/>
        <v>Monday</v>
      </c>
    </row>
    <row r="1000" spans="1:21" x14ac:dyDescent="0.2">
      <c r="A1000" t="s">
        <v>1038</v>
      </c>
      <c r="B1000" t="s">
        <v>22</v>
      </c>
      <c r="C1000" t="s">
        <v>23</v>
      </c>
      <c r="D1000" t="s">
        <v>31</v>
      </c>
      <c r="E1000" t="s">
        <v>181</v>
      </c>
      <c r="F1000" t="s">
        <v>35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33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3">
        <f t="shared" si="60"/>
        <v>65.819999999999993</v>
      </c>
      <c r="S1000" t="str">
        <f t="shared" si="61"/>
        <v>February</v>
      </c>
      <c r="T1000">
        <f t="shared" si="64"/>
        <v>2</v>
      </c>
      <c r="U1000" t="str">
        <f t="shared" si="63"/>
        <v>Friday</v>
      </c>
    </row>
    <row r="1001" spans="1:21" x14ac:dyDescent="0.2">
      <c r="A1001" t="s">
        <v>1039</v>
      </c>
      <c r="B1001" t="s">
        <v>22</v>
      </c>
      <c r="C1001" t="s">
        <v>23</v>
      </c>
      <c r="D1001" t="s">
        <v>24</v>
      </c>
      <c r="E1001" t="s">
        <v>25</v>
      </c>
      <c r="F1001" t="s">
        <v>49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33</v>
      </c>
      <c r="N1001">
        <v>618.38</v>
      </c>
      <c r="O1001">
        <v>4.7619047620000003</v>
      </c>
      <c r="P1001">
        <v>30.919</v>
      </c>
      <c r="Q1001">
        <v>6.6</v>
      </c>
      <c r="R1001" s="3">
        <f t="shared" si="60"/>
        <v>618.38</v>
      </c>
      <c r="S1001" t="str">
        <f t="shared" si="61"/>
        <v>February</v>
      </c>
      <c r="T1001">
        <f t="shared" si="64"/>
        <v>2</v>
      </c>
      <c r="U1001" t="str">
        <f t="shared" si="63"/>
        <v>Monday</v>
      </c>
    </row>
  </sheetData>
  <conditionalFormatting sqref="K1:K1002 K1004:K1048576">
    <cfRule type="containsText" dxfId="0" priority="1" operator="containsText" text="/">
      <formula>NOT(ISERROR(SEARCH("/",K1)))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2025-12-16T11:21:15Z</dcterms:created>
  <dcterms:modified xsi:type="dcterms:W3CDTF">2025-12-16T11:27:24Z</dcterms:modified>
</cp:coreProperties>
</file>